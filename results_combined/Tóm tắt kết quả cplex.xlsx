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_combined\"/>
    </mc:Choice>
  </mc:AlternateContent>
  <bookViews>
    <workbookView xWindow="0" yWindow="0" windowWidth="38400" windowHeight="17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" l="1"/>
  <c r="K16" i="1"/>
  <c r="J16" i="1"/>
  <c r="I16" i="1"/>
  <c r="H16" i="1"/>
  <c r="G16" i="1"/>
  <c r="F16" i="1"/>
  <c r="E16" i="1"/>
  <c r="D16" i="1"/>
  <c r="C16" i="1"/>
  <c r="L12" i="1"/>
  <c r="K12" i="1"/>
  <c r="J12" i="1"/>
  <c r="I12" i="1"/>
  <c r="H12" i="1"/>
  <c r="G12" i="1"/>
  <c r="F12" i="1"/>
  <c r="E12" i="1"/>
  <c r="D12" i="1"/>
  <c r="C12" i="1"/>
  <c r="L8" i="1"/>
  <c r="K8" i="1"/>
  <c r="J8" i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<sst xmlns="http://schemas.openxmlformats.org/spreadsheetml/2006/main" count="31" uniqueCount="18">
  <si>
    <t>Objective function</t>
  </si>
  <si>
    <t>Set</t>
  </si>
  <si>
    <t>120 seconds timeout</t>
  </si>
  <si>
    <t>#Solved</t>
  </si>
  <si>
    <t>Linear Continuous</t>
  </si>
  <si>
    <t>Original</t>
  </si>
  <si>
    <t>Track time</t>
  </si>
  <si>
    <t>Station time</t>
  </si>
  <si>
    <t>All</t>
  </si>
  <si>
    <t>Rounded Linear</t>
  </si>
  <si>
    <t>Stepwise</t>
  </si>
  <si>
    <t>BigM Gurobi</t>
  </si>
  <si>
    <t>TI Gurobi</t>
  </si>
  <si>
    <t>BigM CPLEX</t>
  </si>
  <si>
    <t>TI CPLEX</t>
  </si>
  <si>
    <t>CP CPLEX</t>
  </si>
  <si>
    <t>X</t>
  </si>
  <si>
    <t>Average time (ms) (Không tính timeout)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</si>
</sst>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Segoe UI"/>
      <family val="2"/>
    </font>
    <font>
      <b/>
      <sz val="11"/>
      <name val="Calibri"/>
      <family val="2"/>
      <scheme val="minor"/>
    </font>
    <font>
      <b/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3" xfId="0" applyFill="1" applyBorder="1" applyAlignment="1"/>
    <xf numFmtId="0" fontId="0" fillId="0" borderId="0" xfId="0" applyFill="1" applyBorder="1" applyAlignment="1"/>
    <xf numFmtId="0" fontId="0" fillId="0" borderId="0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24" xfId="0" applyBorder="1"/>
    <xf numFmtId="0" fontId="0" fillId="0" borderId="26" xfId="0" applyFont="1" applyBorder="1"/>
    <xf numFmtId="0" fontId="0" fillId="0" borderId="27" xfId="0" applyBorder="1"/>
    <xf numFmtId="0" fontId="0" fillId="0" borderId="24" xfId="0" applyFont="1" applyBorder="1"/>
    <xf numFmtId="0" fontId="0" fillId="0" borderId="28" xfId="0" applyFont="1" applyBorder="1"/>
    <xf numFmtId="0" fontId="0" fillId="0" borderId="3" xfId="0" applyFont="1" applyFill="1" applyBorder="1"/>
    <xf numFmtId="0" fontId="2" fillId="0" borderId="0" xfId="0" applyFont="1" applyFill="1" applyBorder="1"/>
    <xf numFmtId="0" fontId="0" fillId="0" borderId="0" xfId="0" applyFill="1" applyBorder="1"/>
    <xf numFmtId="0" fontId="0" fillId="0" borderId="0" xfId="0" applyFont="1" applyFill="1" applyBorder="1"/>
    <xf numFmtId="0" fontId="0" fillId="0" borderId="29" xfId="0" applyBorder="1"/>
    <xf numFmtId="0" fontId="0" fillId="0" borderId="31" xfId="0" applyFont="1" applyBorder="1"/>
    <xf numFmtId="0" fontId="0" fillId="0" borderId="32" xfId="0" applyBorder="1"/>
    <xf numFmtId="0" fontId="0" fillId="0" borderId="9" xfId="0" applyBorder="1"/>
    <xf numFmtId="0" fontId="0" fillId="0" borderId="34" xfId="0" applyFont="1" applyBorder="1"/>
    <xf numFmtId="0" fontId="0" fillId="0" borderId="32" xfId="0" applyFont="1" applyBorder="1"/>
    <xf numFmtId="0" fontId="0" fillId="0" borderId="9" xfId="0" applyFont="1" applyBorder="1"/>
    <xf numFmtId="0" fontId="0" fillId="0" borderId="35" xfId="0" applyBorder="1"/>
    <xf numFmtId="0" fontId="0" fillId="0" borderId="37" xfId="0" applyFont="1" applyBorder="1"/>
    <xf numFmtId="0" fontId="2" fillId="0" borderId="37" xfId="0" applyFont="1" applyBorder="1"/>
    <xf numFmtId="0" fontId="0" fillId="0" borderId="38" xfId="0" applyFont="1" applyBorder="1"/>
    <xf numFmtId="0" fontId="0" fillId="0" borderId="39" xfId="0" applyFont="1" applyBorder="1"/>
    <xf numFmtId="0" fontId="0" fillId="0" borderId="40" xfId="0" applyFont="1" applyBorder="1"/>
    <xf numFmtId="0" fontId="1" fillId="3" borderId="41" xfId="2" applyBorder="1"/>
    <xf numFmtId="0" fontId="2" fillId="3" borderId="44" xfId="2" applyFont="1" applyBorder="1"/>
    <xf numFmtId="0" fontId="1" fillId="3" borderId="20" xfId="2" applyFont="1" applyBorder="1"/>
    <xf numFmtId="0" fontId="1" fillId="3" borderId="45" xfId="2" applyFont="1" applyBorder="1"/>
    <xf numFmtId="0" fontId="1" fillId="3" borderId="44" xfId="2" applyFont="1" applyBorder="1"/>
    <xf numFmtId="0" fontId="1" fillId="0" borderId="3" xfId="1" applyFill="1" applyBorder="1"/>
    <xf numFmtId="0" fontId="2" fillId="0" borderId="0" xfId="1" applyFont="1" applyFill="1" applyBorder="1"/>
    <xf numFmtId="0" fontId="1" fillId="0" borderId="0" xfId="1" applyFill="1" applyBorder="1"/>
    <xf numFmtId="0" fontId="1" fillId="0" borderId="0" xfId="1" applyFont="1" applyFill="1" applyBorder="1"/>
    <xf numFmtId="0" fontId="0" fillId="0" borderId="46" xfId="0" applyBorder="1" applyAlignment="1">
      <alignment horizontal="center" vertical="center"/>
    </xf>
    <xf numFmtId="0" fontId="0" fillId="0" borderId="47" xfId="0" applyBorder="1"/>
    <xf numFmtId="0" fontId="0" fillId="0" borderId="49" xfId="0" applyBorder="1"/>
    <xf numFmtId="0" fontId="0" fillId="0" borderId="2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2" fillId="0" borderId="3" xfId="0" applyFont="1" applyFill="1" applyBorder="1"/>
    <xf numFmtId="0" fontId="0" fillId="0" borderId="53" xfId="0" applyBorder="1"/>
    <xf numFmtId="0" fontId="0" fillId="0" borderId="31" xfId="0" applyBorder="1"/>
    <xf numFmtId="0" fontId="0" fillId="0" borderId="33" xfId="0" applyBorder="1"/>
    <xf numFmtId="0" fontId="0" fillId="0" borderId="34" xfId="0" applyBorder="1"/>
    <xf numFmtId="0" fontId="0" fillId="0" borderId="54" xfId="0" applyBorder="1"/>
    <xf numFmtId="0" fontId="0" fillId="0" borderId="55" xfId="0" applyBorder="1"/>
    <xf numFmtId="0" fontId="0" fillId="0" borderId="40" xfId="0" applyBorder="1"/>
    <xf numFmtId="0" fontId="0" fillId="0" borderId="37" xfId="0" applyBorder="1"/>
    <xf numFmtId="0" fontId="0" fillId="0" borderId="3" xfId="0" applyNumberFormat="1" applyFill="1" applyBorder="1"/>
    <xf numFmtId="0" fontId="1" fillId="3" borderId="57" xfId="2" applyBorder="1"/>
    <xf numFmtId="0" fontId="1" fillId="3" borderId="44" xfId="2" applyBorder="1"/>
    <xf numFmtId="0" fontId="0" fillId="0" borderId="60" xfId="0" applyBorder="1"/>
    <xf numFmtId="0" fontId="0" fillId="0" borderId="25" xfId="0" applyBorder="1"/>
    <xf numFmtId="0" fontId="0" fillId="0" borderId="61" xfId="0" applyBorder="1"/>
    <xf numFmtId="0" fontId="2" fillId="0" borderId="33" xfId="0" applyFont="1" applyBorder="1"/>
    <xf numFmtId="0" fontId="0" fillId="0" borderId="62" xfId="0" applyBorder="1"/>
    <xf numFmtId="0" fontId="0" fillId="0" borderId="56" xfId="0" applyBorder="1"/>
    <xf numFmtId="0" fontId="0" fillId="0" borderId="39" xfId="0" applyBorder="1"/>
    <xf numFmtId="0" fontId="0" fillId="0" borderId="63" xfId="0" applyBorder="1" applyAlignment="1">
      <alignment horizontal="center" vertical="center"/>
    </xf>
    <xf numFmtId="0" fontId="1" fillId="3" borderId="7" xfId="2" applyBorder="1"/>
    <xf numFmtId="0" fontId="2" fillId="3" borderId="6" xfId="2" applyFont="1" applyBorder="1"/>
    <xf numFmtId="0" fontId="1" fillId="3" borderId="16" xfId="2" applyFont="1" applyBorder="1"/>
    <xf numFmtId="0" fontId="1" fillId="3" borderId="16" xfId="2" applyBorder="1"/>
    <xf numFmtId="0" fontId="1" fillId="3" borderId="14" xfId="2" applyBorder="1"/>
    <xf numFmtId="0" fontId="1" fillId="3" borderId="15" xfId="2" applyBorder="1"/>
    <xf numFmtId="0" fontId="1" fillId="3" borderId="65" xfId="2" applyBorder="1"/>
    <xf numFmtId="3" fontId="4" fillId="0" borderId="24" xfId="0" applyNumberFormat="1" applyFont="1" applyBorder="1"/>
    <xf numFmtId="0" fontId="5" fillId="0" borderId="0" xfId="0" applyFont="1"/>
    <xf numFmtId="3" fontId="5" fillId="0" borderId="0" xfId="0" applyNumberFormat="1" applyFont="1"/>
    <xf numFmtId="0" fontId="4" fillId="0" borderId="26" xfId="0" applyFont="1" applyBorder="1"/>
    <xf numFmtId="3" fontId="4" fillId="0" borderId="30" xfId="0" applyNumberFormat="1" applyFont="1" applyBorder="1"/>
    <xf numFmtId="3" fontId="4" fillId="0" borderId="31" xfId="0" applyNumberFormat="1" applyFont="1" applyBorder="1"/>
    <xf numFmtId="0" fontId="4" fillId="0" borderId="9" xfId="0" applyFont="1" applyBorder="1"/>
    <xf numFmtId="0" fontId="4" fillId="0" borderId="36" xfId="0" applyFont="1" applyBorder="1"/>
    <xf numFmtId="3" fontId="4" fillId="0" borderId="37" xfId="0" applyNumberFormat="1" applyFont="1" applyBorder="1"/>
    <xf numFmtId="0" fontId="4" fillId="0" borderId="39" xfId="0" applyFont="1" applyBorder="1"/>
    <xf numFmtId="0" fontId="4" fillId="3" borderId="42" xfId="2" applyFont="1" applyBorder="1"/>
    <xf numFmtId="0" fontId="4" fillId="3" borderId="43" xfId="2" applyFont="1" applyBorder="1"/>
    <xf numFmtId="0" fontId="6" fillId="0" borderId="48" xfId="0" applyFont="1" applyBorder="1"/>
    <xf numFmtId="3" fontId="4" fillId="0" borderId="48" xfId="0" applyNumberFormat="1" applyFont="1" applyBorder="1"/>
    <xf numFmtId="0" fontId="4" fillId="0" borderId="2" xfId="0" applyFont="1" applyBorder="1"/>
    <xf numFmtId="0" fontId="4" fillId="0" borderId="55" xfId="0" applyFont="1" applyBorder="1"/>
    <xf numFmtId="3" fontId="4" fillId="0" borderId="55" xfId="0" applyNumberFormat="1" applyFont="1" applyBorder="1"/>
    <xf numFmtId="0" fontId="4" fillId="3" borderId="58" xfId="2" applyFont="1" applyBorder="1"/>
    <xf numFmtId="0" fontId="4" fillId="3" borderId="44" xfId="2" applyFont="1" applyBorder="1"/>
    <xf numFmtId="0" fontId="4" fillId="0" borderId="48" xfId="0" applyFont="1" applyBorder="1"/>
    <xf numFmtId="3" fontId="4" fillId="0" borderId="34" xfId="0" applyNumberFormat="1" applyFont="1" applyBorder="1"/>
    <xf numFmtId="0" fontId="4" fillId="0" borderId="37" xfId="0" applyFont="1" applyBorder="1"/>
    <xf numFmtId="0" fontId="4" fillId="0" borderId="20" xfId="0" applyFont="1" applyBorder="1"/>
    <xf numFmtId="3" fontId="4" fillId="0" borderId="51" xfId="0" applyNumberFormat="1" applyFont="1" applyBorder="1"/>
    <xf numFmtId="0" fontId="5" fillId="0" borderId="31" xfId="0" applyFont="1" applyBorder="1"/>
    <xf numFmtId="3" fontId="5" fillId="0" borderId="31" xfId="0" applyNumberFormat="1" applyFont="1" applyBorder="1"/>
    <xf numFmtId="0" fontId="4" fillId="3" borderId="66" xfId="2" applyFont="1" applyBorder="1"/>
    <xf numFmtId="3" fontId="5" fillId="0" borderId="55" xfId="0" applyNumberFormat="1" applyFont="1" applyBorder="1"/>
    <xf numFmtId="0" fontId="5" fillId="0" borderId="51" xfId="0" applyFont="1" applyBorder="1"/>
    <xf numFmtId="3" fontId="5" fillId="0" borderId="51" xfId="0" applyNumberFormat="1" applyFont="1" applyBorder="1"/>
    <xf numFmtId="0" fontId="6" fillId="3" borderId="43" xfId="2" applyFont="1" applyBorder="1"/>
    <xf numFmtId="0" fontId="5" fillId="0" borderId="24" xfId="0" applyFont="1" applyBorder="1"/>
    <xf numFmtId="0" fontId="4" fillId="0" borderId="33" xfId="0" applyFont="1" applyBorder="1"/>
    <xf numFmtId="0" fontId="6" fillId="0" borderId="61" xfId="0" applyFont="1" applyBorder="1"/>
    <xf numFmtId="0" fontId="6" fillId="0" borderId="39" xfId="0" applyFont="1" applyBorder="1"/>
    <xf numFmtId="0" fontId="6" fillId="0" borderId="9" xfId="0" applyFont="1" applyBorder="1"/>
    <xf numFmtId="0" fontId="7" fillId="0" borderId="55" xfId="0" applyFont="1" applyBorder="1"/>
    <xf numFmtId="0" fontId="6" fillId="0" borderId="23" xfId="0" applyFont="1" applyBorder="1"/>
    <xf numFmtId="0" fontId="7" fillId="0" borderId="31" xfId="0" applyFont="1" applyBorder="1"/>
    <xf numFmtId="0" fontId="6" fillId="3" borderId="66" xfId="2" applyFont="1" applyBorder="1"/>
    <xf numFmtId="0" fontId="2" fillId="3" borderId="64" xfId="2" applyFont="1" applyBorder="1"/>
    <xf numFmtId="0" fontId="2" fillId="3" borderId="41" xfId="2" applyFont="1" applyBorder="1"/>
    <xf numFmtId="0" fontId="1" fillId="3" borderId="42" xfId="2" applyFont="1" applyBorder="1"/>
    <xf numFmtId="0" fontId="2" fillId="0" borderId="55" xfId="0" applyFont="1" applyBorder="1"/>
    <xf numFmtId="0" fontId="1" fillId="3" borderId="59" xfId="2" applyFont="1" applyBorder="1"/>
  </cellXfs>
  <cellStyles count="3">
    <cellStyle name="20% - Accent2" xfId="1" builtinId="34"/>
    <cellStyle name="20% - Accent5" xfId="2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B1" zoomScale="130" zoomScaleNormal="130" workbookViewId="0">
      <selection activeCell="I21" sqref="I21"/>
    </sheetView>
  </sheetViews>
  <sheetFormatPr defaultRowHeight="15" x14ac:dyDescent="0.25"/>
  <cols>
    <col min="1" max="1" width="17.7109375" bestFit="1" customWidth="1"/>
    <col min="2" max="2" width="11.85546875" bestFit="1" customWidth="1"/>
    <col min="3" max="6" width="15.7109375" customWidth="1"/>
    <col min="7" max="7" width="19.28515625" bestFit="1" customWidth="1"/>
    <col min="8" max="10" width="15.7109375" customWidth="1"/>
    <col min="11" max="11" width="16.28515625" bestFit="1" customWidth="1"/>
    <col min="12" max="12" width="19.28515625" bestFit="1" customWidth="1"/>
    <col min="13" max="20" width="15.7109375" customWidth="1"/>
  </cols>
  <sheetData>
    <row r="1" spans="1:23" x14ac:dyDescent="0.25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5"/>
      <c r="N1" s="6"/>
      <c r="O1" s="6"/>
      <c r="P1" s="6"/>
      <c r="Q1" s="6"/>
      <c r="R1" s="6"/>
      <c r="S1" s="6"/>
      <c r="T1" s="6"/>
      <c r="U1" s="7"/>
      <c r="V1" s="7"/>
      <c r="W1" s="7"/>
    </row>
    <row r="2" spans="1:23" ht="15.75" thickBot="1" x14ac:dyDescent="0.3">
      <c r="A2" s="8"/>
      <c r="B2" s="9"/>
      <c r="C2" s="10"/>
      <c r="D2" s="11"/>
      <c r="E2" s="11"/>
      <c r="F2" s="11"/>
      <c r="G2" s="11"/>
      <c r="H2" s="11"/>
      <c r="I2" s="11"/>
      <c r="J2" s="11"/>
      <c r="K2" s="11"/>
      <c r="L2" s="11"/>
      <c r="M2" s="5"/>
      <c r="N2" s="6"/>
      <c r="O2" s="6"/>
      <c r="P2" s="6"/>
      <c r="Q2" s="6"/>
      <c r="R2" s="6"/>
      <c r="S2" s="6"/>
      <c r="T2" s="6"/>
      <c r="U2" s="7"/>
      <c r="V2" s="7"/>
      <c r="W2" s="7"/>
    </row>
    <row r="3" spans="1:23" ht="16.5" thickTop="1" thickBot="1" x14ac:dyDescent="0.3">
      <c r="A3" s="12"/>
      <c r="B3" s="13"/>
      <c r="C3" s="14" t="s">
        <v>17</v>
      </c>
      <c r="D3" s="15"/>
      <c r="E3" s="15"/>
      <c r="F3" s="15"/>
      <c r="G3" s="15"/>
      <c r="H3" s="14" t="s">
        <v>3</v>
      </c>
      <c r="I3" s="15"/>
      <c r="J3" s="15"/>
      <c r="K3" s="15"/>
      <c r="L3" s="16"/>
      <c r="M3" s="6"/>
      <c r="N3" s="6"/>
      <c r="O3" s="6"/>
      <c r="P3" s="6"/>
      <c r="Q3" s="6"/>
      <c r="R3" s="6"/>
      <c r="S3" s="6"/>
      <c r="T3" s="6"/>
    </row>
    <row r="4" spans="1:23" ht="15.75" thickBot="1" x14ac:dyDescent="0.3">
      <c r="A4" s="12"/>
      <c r="B4" s="17"/>
      <c r="C4" s="18" t="s">
        <v>11</v>
      </c>
      <c r="D4" s="19" t="s">
        <v>12</v>
      </c>
      <c r="E4" s="20" t="s">
        <v>13</v>
      </c>
      <c r="F4" s="21" t="s">
        <v>14</v>
      </c>
      <c r="G4" s="22" t="s">
        <v>15</v>
      </c>
      <c r="H4" s="18" t="s">
        <v>11</v>
      </c>
      <c r="I4" s="20" t="s">
        <v>12</v>
      </c>
      <c r="J4" s="23" t="s">
        <v>13</v>
      </c>
      <c r="K4" s="24" t="s">
        <v>14</v>
      </c>
      <c r="L4" s="22" t="s">
        <v>15</v>
      </c>
      <c r="M4" s="25"/>
      <c r="N4" s="26"/>
      <c r="O4" s="26"/>
      <c r="P4" s="26"/>
      <c r="Q4" s="26"/>
      <c r="R4" s="26"/>
      <c r="S4" s="26"/>
      <c r="T4" s="26"/>
    </row>
    <row r="5" spans="1:23" ht="15.75" thickTop="1" x14ac:dyDescent="0.25">
      <c r="A5" s="27" t="s">
        <v>4</v>
      </c>
      <c r="B5" s="28" t="s">
        <v>5</v>
      </c>
      <c r="C5" s="131">
        <v>38</v>
      </c>
      <c r="D5" s="94">
        <v>5992</v>
      </c>
      <c r="E5" s="125">
        <v>63</v>
      </c>
      <c r="F5" s="96">
        <v>31582</v>
      </c>
      <c r="G5" s="97">
        <v>156</v>
      </c>
      <c r="H5" s="31">
        <v>24</v>
      </c>
      <c r="I5" s="32">
        <v>24</v>
      </c>
      <c r="J5" s="29">
        <v>19</v>
      </c>
      <c r="K5" s="33">
        <v>4</v>
      </c>
      <c r="L5" s="30">
        <v>14</v>
      </c>
      <c r="M5" s="34"/>
      <c r="N5" s="35"/>
      <c r="O5" s="36"/>
      <c r="P5" s="37"/>
      <c r="Q5" s="37"/>
      <c r="R5" s="35"/>
      <c r="S5" s="36"/>
      <c r="T5" s="35"/>
    </row>
    <row r="6" spans="1:23" x14ac:dyDescent="0.25">
      <c r="A6" s="27"/>
      <c r="B6" s="38" t="s">
        <v>6</v>
      </c>
      <c r="C6" s="98">
        <v>2022</v>
      </c>
      <c r="D6" s="99">
        <v>3923</v>
      </c>
      <c r="E6" s="132">
        <v>92</v>
      </c>
      <c r="F6" s="119">
        <v>8710</v>
      </c>
      <c r="G6" s="100">
        <v>101</v>
      </c>
      <c r="H6" s="82">
        <v>22</v>
      </c>
      <c r="I6" s="42">
        <v>21</v>
      </c>
      <c r="J6" s="39">
        <v>16</v>
      </c>
      <c r="K6" s="43">
        <v>1</v>
      </c>
      <c r="L6" s="44">
        <v>10</v>
      </c>
      <c r="M6" s="34"/>
      <c r="N6" s="37"/>
      <c r="O6" s="36"/>
      <c r="P6" s="35"/>
      <c r="Q6" s="36"/>
      <c r="R6" s="35"/>
      <c r="S6" s="36"/>
      <c r="T6" s="35"/>
    </row>
    <row r="7" spans="1:23" ht="15.75" thickBot="1" x14ac:dyDescent="0.3">
      <c r="A7" s="27"/>
      <c r="B7" s="45" t="s">
        <v>7</v>
      </c>
      <c r="C7" s="101">
        <v>228</v>
      </c>
      <c r="D7" s="102">
        <v>7333</v>
      </c>
      <c r="E7" s="130">
        <v>45</v>
      </c>
      <c r="F7" s="121">
        <v>86770</v>
      </c>
      <c r="G7" s="103">
        <v>65</v>
      </c>
      <c r="H7" s="50">
        <v>21</v>
      </c>
      <c r="I7" s="47">
        <v>21</v>
      </c>
      <c r="J7" s="46">
        <v>12</v>
      </c>
      <c r="K7" s="48">
        <v>1</v>
      </c>
      <c r="L7" s="49">
        <v>8</v>
      </c>
      <c r="M7" s="37"/>
      <c r="N7" s="35"/>
      <c r="O7" s="36"/>
      <c r="P7" s="37"/>
      <c r="Q7" s="37"/>
      <c r="R7" s="35"/>
      <c r="S7" s="36"/>
      <c r="T7" s="35"/>
    </row>
    <row r="8" spans="1:23" ht="15.75" thickBot="1" x14ac:dyDescent="0.3">
      <c r="A8" s="27"/>
      <c r="B8" s="51" t="s">
        <v>8</v>
      </c>
      <c r="C8" s="104">
        <f>SUM(C5:C7)</f>
        <v>2288</v>
      </c>
      <c r="D8" s="112">
        <f>SUM(D5:D7)</f>
        <v>17248</v>
      </c>
      <c r="E8" s="124">
        <f t="shared" ref="E8:L8" si="0">SUM(E5:E7)</f>
        <v>200</v>
      </c>
      <c r="F8" s="112">
        <f t="shared" si="0"/>
        <v>127062</v>
      </c>
      <c r="G8" s="120">
        <f t="shared" si="0"/>
        <v>322</v>
      </c>
      <c r="H8" s="135">
        <f t="shared" si="0"/>
        <v>67</v>
      </c>
      <c r="I8" s="55">
        <f t="shared" si="0"/>
        <v>66</v>
      </c>
      <c r="J8" s="55">
        <f t="shared" si="0"/>
        <v>47</v>
      </c>
      <c r="K8" s="53">
        <f t="shared" si="0"/>
        <v>6</v>
      </c>
      <c r="L8" s="53">
        <f t="shared" si="0"/>
        <v>32</v>
      </c>
      <c r="M8" s="56"/>
      <c r="N8" s="57"/>
      <c r="O8" s="58"/>
      <c r="P8" s="59"/>
      <c r="Q8" s="58"/>
      <c r="R8" s="57"/>
      <c r="S8" s="58"/>
      <c r="T8" s="57"/>
    </row>
    <row r="9" spans="1:23" x14ac:dyDescent="0.25">
      <c r="A9" s="60" t="s">
        <v>9</v>
      </c>
      <c r="B9" s="61" t="s">
        <v>5</v>
      </c>
      <c r="C9" s="106">
        <v>28</v>
      </c>
      <c r="D9" s="107">
        <v>4745</v>
      </c>
      <c r="E9" s="122">
        <v>255</v>
      </c>
      <c r="F9" s="123">
        <v>13582</v>
      </c>
      <c r="G9" s="108">
        <v>107</v>
      </c>
      <c r="H9" s="64">
        <v>24</v>
      </c>
      <c r="I9" s="62">
        <v>24</v>
      </c>
      <c r="J9" s="65">
        <v>24</v>
      </c>
      <c r="K9" s="66">
        <v>5</v>
      </c>
      <c r="L9" s="63">
        <v>14</v>
      </c>
      <c r="M9" s="67"/>
      <c r="N9" s="36"/>
      <c r="O9" s="37"/>
      <c r="P9" s="36"/>
      <c r="Q9" s="36"/>
      <c r="R9" s="36"/>
      <c r="S9" s="36"/>
      <c r="T9" s="36"/>
    </row>
    <row r="10" spans="1:23" x14ac:dyDescent="0.25">
      <c r="A10" s="60"/>
      <c r="B10" s="68" t="s">
        <v>6</v>
      </c>
      <c r="C10" s="99">
        <v>4904</v>
      </c>
      <c r="D10" s="99">
        <v>1173</v>
      </c>
      <c r="E10" s="119">
        <v>1777</v>
      </c>
      <c r="F10" s="119">
        <v>5655</v>
      </c>
      <c r="G10" s="129">
        <v>74</v>
      </c>
      <c r="H10" s="70">
        <v>22</v>
      </c>
      <c r="I10" s="71">
        <v>21</v>
      </c>
      <c r="J10" s="39">
        <v>22</v>
      </c>
      <c r="K10" s="43">
        <v>2</v>
      </c>
      <c r="L10" s="44">
        <v>9</v>
      </c>
      <c r="M10" s="34"/>
      <c r="N10" s="36"/>
      <c r="O10" s="35"/>
      <c r="P10" s="36"/>
      <c r="Q10" s="36"/>
      <c r="R10" s="36"/>
      <c r="S10" s="35"/>
      <c r="T10" s="37"/>
    </row>
    <row r="11" spans="1:23" ht="15.75" thickBot="1" x14ac:dyDescent="0.3">
      <c r="A11" s="60"/>
      <c r="B11" s="72" t="s">
        <v>7</v>
      </c>
      <c r="C11" s="109">
        <v>361</v>
      </c>
      <c r="D11" s="110">
        <v>3689</v>
      </c>
      <c r="E11" s="121">
        <v>4322</v>
      </c>
      <c r="F11" s="110">
        <v>31630</v>
      </c>
      <c r="G11" s="103">
        <v>138</v>
      </c>
      <c r="H11" s="74">
        <v>21</v>
      </c>
      <c r="I11" s="75">
        <v>21</v>
      </c>
      <c r="J11" s="137">
        <v>22</v>
      </c>
      <c r="K11" s="48">
        <v>1</v>
      </c>
      <c r="L11" s="49">
        <v>10</v>
      </c>
      <c r="M11" s="76"/>
      <c r="N11" s="36"/>
      <c r="O11" s="37"/>
      <c r="P11" s="35"/>
      <c r="Q11" s="36"/>
      <c r="R11" s="36"/>
      <c r="S11" s="35"/>
      <c r="T11" s="35"/>
    </row>
    <row r="12" spans="1:23" ht="15.75" thickBot="1" x14ac:dyDescent="0.3">
      <c r="A12" s="60"/>
      <c r="B12" s="77" t="s">
        <v>8</v>
      </c>
      <c r="C12" s="111">
        <f>SUM(C9:C11)</f>
        <v>5293</v>
      </c>
      <c r="D12" s="112">
        <f>SUM(D9:D11)</f>
        <v>9607</v>
      </c>
      <c r="E12" s="105">
        <f>SUM(E9:E11)</f>
        <v>6354</v>
      </c>
      <c r="F12" s="112">
        <f t="shared" ref="F12:J12" si="1">SUM(F9:F11)</f>
        <v>50867</v>
      </c>
      <c r="G12" s="133">
        <f t="shared" si="1"/>
        <v>319</v>
      </c>
      <c r="H12" s="136">
        <f t="shared" si="1"/>
        <v>67</v>
      </c>
      <c r="I12" s="78">
        <f t="shared" si="1"/>
        <v>66</v>
      </c>
      <c r="J12" s="52">
        <f t="shared" si="1"/>
        <v>68</v>
      </c>
      <c r="K12" s="138">
        <f>SUM(K9:K11)</f>
        <v>8</v>
      </c>
      <c r="L12" s="54">
        <f>SUM(L9:L11)</f>
        <v>33</v>
      </c>
      <c r="M12" s="58"/>
      <c r="N12" s="58"/>
      <c r="O12" s="58"/>
      <c r="P12" s="57"/>
      <c r="Q12" s="58"/>
      <c r="R12" s="58"/>
      <c r="S12" s="57"/>
      <c r="T12" s="58"/>
      <c r="U12" s="7"/>
    </row>
    <row r="13" spans="1:23" x14ac:dyDescent="0.25">
      <c r="A13" s="27" t="s">
        <v>10</v>
      </c>
      <c r="B13" s="79" t="s">
        <v>5</v>
      </c>
      <c r="C13" s="106">
        <v>10</v>
      </c>
      <c r="D13" s="113">
        <v>27</v>
      </c>
      <c r="E13" s="122">
        <v>153</v>
      </c>
      <c r="F13" s="117">
        <v>33651</v>
      </c>
      <c r="G13" s="108">
        <v>34</v>
      </c>
      <c r="H13" s="64">
        <v>24</v>
      </c>
      <c r="I13" s="62">
        <v>24</v>
      </c>
      <c r="J13" s="65">
        <v>24</v>
      </c>
      <c r="K13" s="80">
        <v>7</v>
      </c>
      <c r="L13" s="63">
        <v>17</v>
      </c>
      <c r="M13" s="67"/>
      <c r="N13" s="37"/>
      <c r="O13" s="36"/>
      <c r="P13" s="36"/>
      <c r="Q13" s="36"/>
      <c r="R13" s="36"/>
      <c r="S13" s="36"/>
      <c r="T13" s="36"/>
    </row>
    <row r="14" spans="1:23" x14ac:dyDescent="0.25">
      <c r="A14" s="27"/>
      <c r="B14" s="81" t="s">
        <v>6</v>
      </c>
      <c r="C14" s="126">
        <v>862</v>
      </c>
      <c r="D14" s="114">
        <v>3639</v>
      </c>
      <c r="E14" s="118">
        <v>451</v>
      </c>
      <c r="F14" s="99">
        <v>10070</v>
      </c>
      <c r="G14" s="127">
        <v>27</v>
      </c>
      <c r="H14" s="70">
        <v>24</v>
      </c>
      <c r="I14" s="69">
        <v>24</v>
      </c>
      <c r="J14" s="69">
        <v>24</v>
      </c>
      <c r="K14" s="40">
        <v>4</v>
      </c>
      <c r="L14" s="41">
        <v>9</v>
      </c>
      <c r="M14" s="67"/>
      <c r="N14" s="37"/>
      <c r="O14" s="36"/>
      <c r="P14" s="36"/>
      <c r="Q14" s="36"/>
      <c r="R14" s="36"/>
      <c r="S14" s="36"/>
      <c r="T14" s="36"/>
    </row>
    <row r="15" spans="1:23" ht="15.75" thickBot="1" x14ac:dyDescent="0.3">
      <c r="A15" s="27"/>
      <c r="B15" s="83" t="s">
        <v>7</v>
      </c>
      <c r="C15" s="101">
        <v>216</v>
      </c>
      <c r="D15" s="115">
        <v>637</v>
      </c>
      <c r="E15" s="95">
        <v>366</v>
      </c>
      <c r="F15" s="116" t="s">
        <v>16</v>
      </c>
      <c r="G15" s="128">
        <v>18</v>
      </c>
      <c r="H15" s="74">
        <v>24</v>
      </c>
      <c r="I15" s="75">
        <v>24</v>
      </c>
      <c r="J15" s="73">
        <v>24</v>
      </c>
      <c r="K15" s="84">
        <v>0</v>
      </c>
      <c r="L15" s="85">
        <v>4</v>
      </c>
      <c r="M15" s="67"/>
      <c r="N15" s="37"/>
      <c r="O15" s="36"/>
      <c r="P15" s="36"/>
      <c r="Q15" s="36"/>
      <c r="R15" s="36"/>
      <c r="S15" s="36"/>
      <c r="T15" s="36"/>
    </row>
    <row r="16" spans="1:23" ht="15.75" thickBot="1" x14ac:dyDescent="0.3">
      <c r="A16" s="86"/>
      <c r="B16" s="87" t="s">
        <v>8</v>
      </c>
      <c r="C16" s="88">
        <f>SUM(C13:C15)</f>
        <v>1088</v>
      </c>
      <c r="D16" s="89">
        <f>SUM(D13:D15)</f>
        <v>4303</v>
      </c>
      <c r="E16" s="90">
        <f>SUM(E13:E15)</f>
        <v>970</v>
      </c>
      <c r="F16" s="90">
        <f t="shared" ref="F16:L16" si="2">SUM(F13:F15)</f>
        <v>43721</v>
      </c>
      <c r="G16" s="134">
        <f t="shared" si="2"/>
        <v>79</v>
      </c>
      <c r="H16" s="91">
        <f t="shared" si="2"/>
        <v>72</v>
      </c>
      <c r="I16" s="92">
        <f t="shared" si="2"/>
        <v>72</v>
      </c>
      <c r="J16" s="90">
        <f t="shared" si="2"/>
        <v>72</v>
      </c>
      <c r="K16" s="90">
        <f t="shared" si="2"/>
        <v>11</v>
      </c>
      <c r="L16" s="93">
        <f t="shared" si="2"/>
        <v>30</v>
      </c>
      <c r="M16" s="57"/>
      <c r="N16" s="58"/>
      <c r="O16" s="58"/>
      <c r="P16" s="58"/>
      <c r="Q16" s="58"/>
      <c r="R16" s="58"/>
      <c r="S16" s="58"/>
      <c r="T16" s="58"/>
    </row>
    <row r="17" spans="7:16" ht="15.75" thickTop="1" x14ac:dyDescent="0.25">
      <c r="M17" s="7"/>
      <c r="N17" s="7"/>
      <c r="O17" s="7"/>
      <c r="P17" s="7"/>
    </row>
    <row r="18" spans="7:16" x14ac:dyDescent="0.25">
      <c r="K18" s="7"/>
      <c r="M18" s="7"/>
      <c r="N18" s="7"/>
      <c r="O18" s="7"/>
      <c r="P18" s="7"/>
    </row>
    <row r="19" spans="7:16" x14ac:dyDescent="0.25">
      <c r="K19" s="7"/>
      <c r="M19" s="7"/>
      <c r="N19" s="7"/>
      <c r="O19" s="7"/>
      <c r="P19" s="7"/>
    </row>
    <row r="20" spans="7:16" x14ac:dyDescent="0.25">
      <c r="K20" s="7"/>
      <c r="M20" s="7"/>
      <c r="N20" s="7"/>
      <c r="O20" s="7"/>
      <c r="P20" s="7"/>
    </row>
    <row r="21" spans="7:16" x14ac:dyDescent="0.25">
      <c r="K21" s="7"/>
      <c r="M21" s="7"/>
      <c r="N21" s="7"/>
      <c r="O21" s="7"/>
      <c r="P21" s="7"/>
    </row>
    <row r="22" spans="7:16" x14ac:dyDescent="0.25">
      <c r="G22" s="7"/>
      <c r="K22" s="7"/>
      <c r="M22" s="7"/>
      <c r="N22" s="7"/>
      <c r="O22" s="7"/>
      <c r="P22" s="7"/>
    </row>
    <row r="23" spans="7:16" x14ac:dyDescent="0.25">
      <c r="G23" s="7"/>
      <c r="K23" s="7"/>
      <c r="M23" s="7"/>
      <c r="N23" s="7"/>
      <c r="O23" s="7"/>
      <c r="P23" s="7"/>
    </row>
    <row r="24" spans="7:16" x14ac:dyDescent="0.25">
      <c r="G24" s="7"/>
      <c r="K24" s="7"/>
      <c r="M24" s="7"/>
      <c r="N24" s="7"/>
      <c r="O24" s="7"/>
      <c r="P24" s="7"/>
    </row>
    <row r="25" spans="7:16" x14ac:dyDescent="0.25">
      <c r="G25" s="7"/>
      <c r="K25" s="7"/>
      <c r="M25" s="7"/>
      <c r="N25" s="7"/>
      <c r="O25" s="7"/>
      <c r="P25" s="7"/>
    </row>
    <row r="26" spans="7:16" x14ac:dyDescent="0.25">
      <c r="G26" s="7"/>
      <c r="K26" s="7"/>
    </row>
    <row r="27" spans="7:16" x14ac:dyDescent="0.25">
      <c r="G27" s="7"/>
      <c r="K27" s="7"/>
    </row>
    <row r="28" spans="7:16" x14ac:dyDescent="0.25">
      <c r="G28" s="7"/>
      <c r="K28" s="7"/>
    </row>
    <row r="29" spans="7:16" x14ac:dyDescent="0.25">
      <c r="G29" s="7"/>
      <c r="K29" s="7"/>
    </row>
    <row r="30" spans="7:16" x14ac:dyDescent="0.25">
      <c r="G30" s="7"/>
    </row>
    <row r="31" spans="7:16" x14ac:dyDescent="0.25">
      <c r="G31" s="7"/>
    </row>
  </sheetData>
  <mergeCells count="8">
    <mergeCell ref="A9:A12"/>
    <mergeCell ref="A13:A16"/>
    <mergeCell ref="A1:A4"/>
    <mergeCell ref="B1:B4"/>
    <mergeCell ref="C1:L2"/>
    <mergeCell ref="C3:G3"/>
    <mergeCell ref="H3:L3"/>
    <mergeCell ref="A5:A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2026-06-11T05:04:14Z</dcterms:created>
  <dcterms:modified xsi:type="dcterms:W3CDTF">2026-06-11T05:21:09Z</dcterms:modified>
</cp:coreProperties>
</file>