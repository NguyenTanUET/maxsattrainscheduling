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3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infsteps180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1" l="1"/>
  <c r="AG3" i="1" l="1"/>
  <c r="AD144" i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F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infsteps180" type="6" refreshedVersion="5" background="1" saveData="1">
    <textPr codePage="437" sourceFile="D:\github\maxsattrainscheduling\results_maxsat_ddd_vs_scl-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<sst xmlns="http://schemas.openxmlformats.org/spreadsheetml/2006/main" count="468" uniqueCount="107">
  <si>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</si>
  <si>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</si>
  <si>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</si>
  <si>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</si>
  <si>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</si>
  <si>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</si>
  <si>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</si>
  <si>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</si>
  <si>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</si>
  <si>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</si>
  <si>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</si>
  <si>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</si>
  <si>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</si>
  <si>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</si>
  <si>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</si>
  <si>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</si>
  <si>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</si>
  <si>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</si>
  <si>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</si>
  <si>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</si>
  <si>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</si>
  <si>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</si>
  <si>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</si>
  <si>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</si>
  <si>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</si>
  <si>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</si>
  <si>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</si>
  <si>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</si>
  <si>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</si>
  <si>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</si>
  <si>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</si>
  <si>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</si>
  <si>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</si>
  <si>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</si>
  <si>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</si>
  <si>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</si>
  <si>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</si>
  <si>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</si>
  <si>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</si>
  <si>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</si>
  <si>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</si>
  <si>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</si>
  <si>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</si>
  <si>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</si>
  <si>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</si>
  <si>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</si>
  <si>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</si>
  <si>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</si>
  <si>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</si>
  <si>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</si>
  <si>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</si>
  <si>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</si>
  <si>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</si>
  <si>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</si>
  <si>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</si>
  <si>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</si>
  <si>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</si>
  <si>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</si>
  <si>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</si>
  <si>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</si>
  <si>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</si>
  <si>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</si>
  <si>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</si>
  <si>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</si>
  <si>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</si>
  <si>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</si>
  <si>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</si>
  <si>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</si>
  <si>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</si>
  <si>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</si>
  <si>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</si>
  <si>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</si>
  <si>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</si>
  <si>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</si>
  <si>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</si>
  <si>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</si>
  <si>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</si>
  <si>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</si>
  <si>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</si>
  <si>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</si>
  <si>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</si>
  <si>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</si>
  <si>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</si>
  <si>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</si>
  <si>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</si>
  <si>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</si>
  <si>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</si>
  <si>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</si>
  <si>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</si>
  <si>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</si>
  <si>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</si>
  <si>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</si>
  <si>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</si>
  <si>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</si>
  <si>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</si>
  <si>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</si>
  <si>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</si>
  <si>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</si>
  <si>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</si>
  <si>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</si>
  <si>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</si>
  <si>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</si>
  <si>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</si>
  <si>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</si>
  <si>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station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</si>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</sst>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AB1" zoomScale="220" zoomScaleNormal="220" workbookViewId="0">
      <selection activeCell="AI8" sqref="AI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35.70994205468056</v>
      </c>
      <c r="AB1">
        <f>AVERAGEIF(S:S, "MaxSatDddLadderSCL",U:U )</f>
        <v>35.22379179894444</v>
      </c>
      <c r="AC1" t="s">
        <v>100</v>
      </c>
      <c r="AD1" t="s">
        <v>101</v>
      </c>
      <c r="AE1" s="3" t="s">
        <v>102</v>
      </c>
      <c r="AF1" s="3"/>
      <c r="AG1" s="3" t="s">
        <v>103</v>
      </c>
      <c r="AH1" s="3"/>
      <c r="AI1" s="3" t="s">
        <v>104</v>
      </c>
      <c r="AJ1" s="3"/>
    </row>
    <row r="2" spans="1:36" s="2" customFormat="1" x14ac:dyDescent="0.25">
      <c r="A2" s="2">
        <v>7.280206E-3</v>
      </c>
      <c r="B2" s="2">
        <v>1.7980691874497099</v>
      </c>
      <c r="C2" s="2">
        <v>20.931034088134702</v>
      </c>
      <c r="D2" s="2">
        <v>5915</v>
      </c>
      <c r="E2" s="2">
        <v>33</v>
      </c>
      <c r="F2" s="2">
        <v>34</v>
      </c>
      <c r="G2" s="2" t="s">
        <v>25</v>
      </c>
      <c r="H2" s="2">
        <v>0</v>
      </c>
      <c r="I2" s="2">
        <v>146</v>
      </c>
      <c r="J2" s="2">
        <v>34</v>
      </c>
      <c r="K2" s="2">
        <v>11</v>
      </c>
      <c r="L2" s="2" t="s">
        <v>26</v>
      </c>
      <c r="M2" s="2">
        <v>935</v>
      </c>
      <c r="N2" s="2">
        <v>2235</v>
      </c>
      <c r="O2" s="2">
        <v>935</v>
      </c>
      <c r="P2" s="2">
        <v>12</v>
      </c>
      <c r="Q2" s="2">
        <v>1</v>
      </c>
      <c r="R2" s="2">
        <v>9.1840130000000002</v>
      </c>
      <c r="S2" s="2" t="s">
        <v>27</v>
      </c>
      <c r="T2" s="2">
        <v>1.6776829999999999E-3</v>
      </c>
      <c r="U2" s="2">
        <v>8.9571609999999999E-3</v>
      </c>
      <c r="V2" s="2">
        <v>29</v>
      </c>
      <c r="W2" s="2">
        <v>27</v>
      </c>
      <c r="X2" s="2">
        <v>105</v>
      </c>
      <c r="Y2" s="2">
        <v>34</v>
      </c>
      <c r="AC2" s="2">
        <f>U2/U3</f>
        <v>1.1128453616291056</v>
      </c>
      <c r="AD2" s="2">
        <f>I2-I3</f>
        <v>-1</v>
      </c>
      <c r="AE2" s="4" t="s">
        <v>105</v>
      </c>
      <c r="AF2" s="4" t="s">
        <v>106</v>
      </c>
      <c r="AG2" s="4" t="s">
        <v>105</v>
      </c>
      <c r="AH2" s="4" t="s">
        <v>106</v>
      </c>
      <c r="AI2" s="4" t="s">
        <v>105</v>
      </c>
      <c r="AJ2" s="4" t="s">
        <v>106</v>
      </c>
    </row>
    <row r="3" spans="1:36" x14ac:dyDescent="0.25">
      <c r="A3">
        <v>6.4117579999999896E-3</v>
      </c>
      <c r="B3">
        <v>1.78921962992759</v>
      </c>
      <c r="C3">
        <v>20.931034088134702</v>
      </c>
      <c r="D3">
        <v>5915</v>
      </c>
      <c r="E3">
        <v>33</v>
      </c>
      <c r="F3">
        <v>34</v>
      </c>
      <c r="G3" t="s">
        <v>25</v>
      </c>
      <c r="H3">
        <v>0</v>
      </c>
      <c r="I3">
        <v>147</v>
      </c>
      <c r="J3">
        <v>34</v>
      </c>
      <c r="K3">
        <v>11</v>
      </c>
      <c r="L3" t="s">
        <v>26</v>
      </c>
      <c r="M3">
        <v>819</v>
      </c>
      <c r="N3">
        <v>2224</v>
      </c>
      <c r="O3">
        <v>819</v>
      </c>
      <c r="P3">
        <v>12</v>
      </c>
      <c r="Q3">
        <v>1</v>
      </c>
      <c r="R3">
        <v>8.2328829999999993</v>
      </c>
      <c r="S3" t="s">
        <v>28</v>
      </c>
      <c r="T3">
        <v>1.6376299999999999E-3</v>
      </c>
      <c r="U3">
        <v>8.0488820000000003E-3</v>
      </c>
      <c r="V3">
        <v>29</v>
      </c>
      <c r="W3">
        <v>32</v>
      </c>
      <c r="X3">
        <v>101</v>
      </c>
      <c r="Y3">
        <v>34</v>
      </c>
      <c r="AE3" s="5">
        <f>AVERAGEIFS($R$2:$R$49,$S$2:$S$49,"MaxSatDddLadderRC2")</f>
        <v>14.383076916666667</v>
      </c>
      <c r="AF3" s="5">
        <f>AVERAGEIFS($R$2:$R$49,$S$2:$S$49,"MaxSatDddLadderScl")</f>
        <v>15.444080500000005</v>
      </c>
      <c r="AG3" s="5">
        <f>AVERAGEIFS($R$50:$R$97,$S$50:$S$97,"MaxSatDddLadderRC2")</f>
        <v>50450.141781541664</v>
      </c>
      <c r="AH3" s="5">
        <f>AVERAGEIF(S50:S97, "MaxSatDddLadderSCL",R50:R97 )</f>
        <v>50516.73972720834</v>
      </c>
      <c r="AI3" s="5">
        <f>AVERAGEIF(S98:S145, "MaxSatDddLadderRC2",R98:R145 )</f>
        <v>53959.211130791671</v>
      </c>
      <c r="AJ3" s="5">
        <f>AVERAGEIF(S98:S145, "MaxSatDddLadderSCL",R98:R145 )</f>
        <v>52765.206976833324</v>
      </c>
    </row>
    <row r="4" spans="1:36" x14ac:dyDescent="0.25">
      <c r="A4">
        <v>1.2447458E-2</v>
      </c>
      <c r="B4">
        <v>2.1558974358974301</v>
      </c>
      <c r="C4">
        <v>19</v>
      </c>
      <c r="D4">
        <v>3735</v>
      </c>
      <c r="E4">
        <v>33</v>
      </c>
      <c r="F4">
        <v>37</v>
      </c>
      <c r="G4" t="s">
        <v>25</v>
      </c>
      <c r="H4">
        <v>1</v>
      </c>
      <c r="I4">
        <v>232</v>
      </c>
      <c r="J4">
        <v>37</v>
      </c>
      <c r="K4">
        <v>11</v>
      </c>
      <c r="L4" t="s">
        <v>29</v>
      </c>
      <c r="M4">
        <v>1026</v>
      </c>
      <c r="N4">
        <v>2102</v>
      </c>
      <c r="O4">
        <v>1026</v>
      </c>
      <c r="P4">
        <v>37</v>
      </c>
      <c r="Q4">
        <v>2</v>
      </c>
      <c r="R4">
        <v>17.879110000000001</v>
      </c>
      <c r="S4" t="s">
        <v>27</v>
      </c>
      <c r="T4">
        <v>5.3000520000000004E-3</v>
      </c>
      <c r="U4">
        <v>1.7746837000000001E-2</v>
      </c>
      <c r="V4">
        <v>25</v>
      </c>
      <c r="W4">
        <v>44</v>
      </c>
      <c r="X4">
        <v>148</v>
      </c>
      <c r="Y4">
        <v>37</v>
      </c>
      <c r="AC4">
        <f>U4/U5</f>
        <v>1.4879954797121144</v>
      </c>
      <c r="AD4">
        <f>I4-I5</f>
        <v>61</v>
      </c>
    </row>
    <row r="5" spans="1:36" x14ac:dyDescent="0.25">
      <c r="A5">
        <v>8.7641349999999993E-3</v>
      </c>
      <c r="B5">
        <v>2.2133333333333298</v>
      </c>
      <c r="C5">
        <v>19</v>
      </c>
      <c r="D5">
        <v>3735</v>
      </c>
      <c r="E5">
        <v>33</v>
      </c>
      <c r="F5">
        <v>37</v>
      </c>
      <c r="G5" t="s">
        <v>25</v>
      </c>
      <c r="H5">
        <v>1</v>
      </c>
      <c r="I5">
        <v>171</v>
      </c>
      <c r="J5">
        <v>37</v>
      </c>
      <c r="K5">
        <v>14</v>
      </c>
      <c r="L5" t="s">
        <v>29</v>
      </c>
      <c r="M5">
        <v>908</v>
      </c>
      <c r="N5">
        <v>2158</v>
      </c>
      <c r="O5">
        <v>908</v>
      </c>
      <c r="P5">
        <v>37</v>
      </c>
      <c r="Q5">
        <v>1</v>
      </c>
      <c r="R5">
        <v>12.198395</v>
      </c>
      <c r="S5" t="s">
        <v>28</v>
      </c>
      <c r="T5">
        <v>3.1631850000000002E-3</v>
      </c>
      <c r="U5">
        <v>1.1926674E-2</v>
      </c>
      <c r="V5">
        <v>25</v>
      </c>
      <c r="W5">
        <v>46</v>
      </c>
      <c r="X5">
        <v>86</v>
      </c>
      <c r="Y5">
        <v>37</v>
      </c>
    </row>
    <row r="6" spans="1:36" x14ac:dyDescent="0.25">
      <c r="A6">
        <v>9.9337109999999996E-3</v>
      </c>
      <c r="B6">
        <v>2.1680327868852398</v>
      </c>
      <c r="C6">
        <v>22.375</v>
      </c>
      <c r="D6">
        <v>2061</v>
      </c>
      <c r="E6">
        <v>33</v>
      </c>
      <c r="F6">
        <v>14</v>
      </c>
      <c r="G6" t="s">
        <v>25</v>
      </c>
      <c r="H6">
        <v>2</v>
      </c>
      <c r="I6">
        <v>194</v>
      </c>
      <c r="J6">
        <v>14</v>
      </c>
      <c r="K6">
        <v>8</v>
      </c>
      <c r="L6" t="s">
        <v>30</v>
      </c>
      <c r="M6">
        <v>795</v>
      </c>
      <c r="N6">
        <v>1587</v>
      </c>
      <c r="O6">
        <v>795</v>
      </c>
      <c r="P6">
        <v>14</v>
      </c>
      <c r="Q6">
        <v>1</v>
      </c>
      <c r="R6">
        <v>13.527341</v>
      </c>
      <c r="S6" t="s">
        <v>27</v>
      </c>
      <c r="T6">
        <v>3.504456E-3</v>
      </c>
      <c r="U6">
        <v>1.3437563E-2</v>
      </c>
      <c r="V6">
        <v>16</v>
      </c>
      <c r="W6">
        <v>28</v>
      </c>
      <c r="X6">
        <v>150</v>
      </c>
      <c r="Y6">
        <v>14</v>
      </c>
      <c r="AC6">
        <f>U6/U7</f>
        <v>1.3099806752556802</v>
      </c>
      <c r="AD6">
        <f t="shared" ref="AD6" si="0">I6-I7</f>
        <v>-18</v>
      </c>
    </row>
    <row r="7" spans="1:36" x14ac:dyDescent="0.25">
      <c r="A7">
        <v>7.6932579999999997E-3</v>
      </c>
      <c r="B7">
        <v>2.3155737704917998</v>
      </c>
      <c r="C7">
        <v>22.375</v>
      </c>
      <c r="D7">
        <v>2061</v>
      </c>
      <c r="E7">
        <v>33</v>
      </c>
      <c r="F7">
        <v>14</v>
      </c>
      <c r="G7" t="s">
        <v>25</v>
      </c>
      <c r="H7">
        <v>2</v>
      </c>
      <c r="I7">
        <v>212</v>
      </c>
      <c r="J7">
        <v>14</v>
      </c>
      <c r="K7">
        <v>9</v>
      </c>
      <c r="L7" t="s">
        <v>30</v>
      </c>
      <c r="M7">
        <v>836</v>
      </c>
      <c r="N7">
        <v>1695</v>
      </c>
      <c r="O7">
        <v>836</v>
      </c>
      <c r="P7">
        <v>14</v>
      </c>
      <c r="Q7">
        <v>1</v>
      </c>
      <c r="R7">
        <v>10.416855</v>
      </c>
      <c r="S7" t="s">
        <v>28</v>
      </c>
      <c r="T7">
        <v>2.565117E-3</v>
      </c>
      <c r="U7">
        <v>1.0257832999999999E-2</v>
      </c>
      <c r="V7">
        <v>16</v>
      </c>
      <c r="W7">
        <v>24</v>
      </c>
      <c r="X7">
        <v>172</v>
      </c>
      <c r="Y7">
        <v>14</v>
      </c>
    </row>
    <row r="8" spans="1:36" x14ac:dyDescent="0.25">
      <c r="A8">
        <v>3.6084569999999998E-3</v>
      </c>
      <c r="B8">
        <v>1.97826086956521</v>
      </c>
      <c r="C8">
        <v>19.214284896850501</v>
      </c>
      <c r="D8">
        <v>1175</v>
      </c>
      <c r="E8">
        <v>33</v>
      </c>
      <c r="F8">
        <v>22</v>
      </c>
      <c r="G8" t="s">
        <v>25</v>
      </c>
      <c r="H8">
        <v>3</v>
      </c>
      <c r="I8">
        <v>110</v>
      </c>
      <c r="J8">
        <v>22</v>
      </c>
      <c r="K8">
        <v>7</v>
      </c>
      <c r="L8" t="s">
        <v>31</v>
      </c>
      <c r="M8">
        <v>502</v>
      </c>
      <c r="N8">
        <v>1092</v>
      </c>
      <c r="O8">
        <v>502</v>
      </c>
      <c r="P8">
        <v>22</v>
      </c>
      <c r="Q8">
        <v>1</v>
      </c>
      <c r="R8">
        <v>4.4027529999999997</v>
      </c>
      <c r="S8" t="s">
        <v>27</v>
      </c>
      <c r="T8">
        <v>7.1985500000000004E-4</v>
      </c>
      <c r="U8">
        <v>4.3278359999999998E-3</v>
      </c>
      <c r="V8">
        <v>14</v>
      </c>
      <c r="W8">
        <v>14</v>
      </c>
      <c r="X8">
        <v>72</v>
      </c>
      <c r="Y8">
        <v>22</v>
      </c>
      <c r="AC8">
        <f>U8/U9</f>
        <v>0.7724289527622521</v>
      </c>
      <c r="AD8">
        <f t="shared" ref="AD8" si="1">I8-I9</f>
        <v>-18</v>
      </c>
    </row>
    <row r="9" spans="1:36" x14ac:dyDescent="0.25">
      <c r="A9">
        <v>4.17952899999999E-3</v>
      </c>
      <c r="B9">
        <v>2.50181159420289</v>
      </c>
      <c r="C9">
        <v>19.214284896850501</v>
      </c>
      <c r="D9">
        <v>1175</v>
      </c>
      <c r="E9">
        <v>33</v>
      </c>
      <c r="F9">
        <v>22</v>
      </c>
      <c r="G9" t="s">
        <v>25</v>
      </c>
      <c r="H9">
        <v>3</v>
      </c>
      <c r="I9">
        <v>128</v>
      </c>
      <c r="J9">
        <v>22</v>
      </c>
      <c r="K9">
        <v>9</v>
      </c>
      <c r="L9" t="s">
        <v>31</v>
      </c>
      <c r="M9">
        <v>698</v>
      </c>
      <c r="N9">
        <v>1381</v>
      </c>
      <c r="O9">
        <v>698</v>
      </c>
      <c r="P9">
        <v>22</v>
      </c>
      <c r="Q9">
        <v>1</v>
      </c>
      <c r="R9">
        <v>5.709022</v>
      </c>
      <c r="S9" t="s">
        <v>28</v>
      </c>
      <c r="T9">
        <v>1.423899E-3</v>
      </c>
      <c r="U9">
        <v>5.6028919999999999E-3</v>
      </c>
      <c r="V9">
        <v>14</v>
      </c>
      <c r="W9">
        <v>24</v>
      </c>
      <c r="X9">
        <v>80</v>
      </c>
      <c r="Y9">
        <v>22</v>
      </c>
    </row>
    <row r="10" spans="1:36" x14ac:dyDescent="0.25">
      <c r="A10">
        <v>4.7857939999999899E-3</v>
      </c>
      <c r="B10">
        <v>2.1793248945147599</v>
      </c>
      <c r="C10">
        <v>19.25</v>
      </c>
      <c r="D10">
        <v>876</v>
      </c>
      <c r="E10">
        <v>33</v>
      </c>
      <c r="F10">
        <v>19</v>
      </c>
      <c r="G10" t="s">
        <v>25</v>
      </c>
      <c r="H10">
        <v>4</v>
      </c>
      <c r="I10">
        <v>141</v>
      </c>
      <c r="J10">
        <v>19</v>
      </c>
      <c r="K10">
        <v>11</v>
      </c>
      <c r="L10" t="s">
        <v>32</v>
      </c>
      <c r="M10">
        <v>525</v>
      </c>
      <c r="N10">
        <v>1033</v>
      </c>
      <c r="O10">
        <v>525</v>
      </c>
      <c r="P10">
        <v>19</v>
      </c>
      <c r="Q10">
        <v>1</v>
      </c>
      <c r="R10">
        <v>6.0122400000000003</v>
      </c>
      <c r="S10" t="s">
        <v>27</v>
      </c>
      <c r="T10">
        <v>1.1554600000000001E-3</v>
      </c>
      <c r="U10">
        <v>5.940608E-3</v>
      </c>
      <c r="V10">
        <v>12</v>
      </c>
      <c r="W10">
        <v>12</v>
      </c>
      <c r="X10">
        <v>108</v>
      </c>
      <c r="Y10">
        <v>19</v>
      </c>
      <c r="AC10">
        <f>U10/U11</f>
        <v>1.1186041550196555</v>
      </c>
      <c r="AD10">
        <f t="shared" ref="AD10" si="2">I10-I11</f>
        <v>30</v>
      </c>
    </row>
    <row r="11" spans="1:36" x14ac:dyDescent="0.25">
      <c r="A11">
        <v>4.4208569999999899E-3</v>
      </c>
      <c r="B11">
        <v>2.0485232067510499</v>
      </c>
      <c r="C11">
        <v>19.25</v>
      </c>
      <c r="D11">
        <v>876</v>
      </c>
      <c r="E11">
        <v>33</v>
      </c>
      <c r="F11">
        <v>19</v>
      </c>
      <c r="G11" t="s">
        <v>25</v>
      </c>
      <c r="H11">
        <v>4</v>
      </c>
      <c r="I11">
        <v>111</v>
      </c>
      <c r="J11">
        <v>19</v>
      </c>
      <c r="K11">
        <v>7</v>
      </c>
      <c r="L11" t="s">
        <v>32</v>
      </c>
      <c r="M11">
        <v>433</v>
      </c>
      <c r="N11">
        <v>971</v>
      </c>
      <c r="O11">
        <v>433</v>
      </c>
      <c r="P11">
        <v>19</v>
      </c>
      <c r="Q11">
        <v>1</v>
      </c>
      <c r="R11">
        <v>5.4617000000000004</v>
      </c>
      <c r="S11" t="s">
        <v>28</v>
      </c>
      <c r="T11">
        <v>8.9067699999999998E-4</v>
      </c>
      <c r="U11">
        <v>5.3107329999999998E-3</v>
      </c>
      <c r="V11">
        <v>12</v>
      </c>
      <c r="W11">
        <v>11</v>
      </c>
      <c r="X11">
        <v>79</v>
      </c>
      <c r="Y11">
        <v>19</v>
      </c>
    </row>
    <row r="12" spans="1:36" x14ac:dyDescent="0.25">
      <c r="A12">
        <v>1.9567260000000002E-3</v>
      </c>
      <c r="B12">
        <v>1.73856209150326</v>
      </c>
      <c r="C12">
        <v>18.625</v>
      </c>
      <c r="D12">
        <v>307</v>
      </c>
      <c r="E12">
        <v>33</v>
      </c>
      <c r="F12">
        <v>14</v>
      </c>
      <c r="G12" t="s">
        <v>25</v>
      </c>
      <c r="H12">
        <v>5</v>
      </c>
      <c r="I12">
        <v>89</v>
      </c>
      <c r="J12">
        <v>14</v>
      </c>
      <c r="K12">
        <v>6</v>
      </c>
      <c r="L12" t="s">
        <v>33</v>
      </c>
      <c r="M12">
        <v>215</v>
      </c>
      <c r="N12">
        <v>532</v>
      </c>
      <c r="O12">
        <v>215</v>
      </c>
      <c r="P12">
        <v>14</v>
      </c>
      <c r="Q12">
        <v>1</v>
      </c>
      <c r="R12">
        <v>2.3107229999999999</v>
      </c>
      <c r="S12" t="s">
        <v>27</v>
      </c>
      <c r="T12">
        <v>2.7560600000000002E-4</v>
      </c>
      <c r="U12">
        <v>2.2318820000000001E-3</v>
      </c>
      <c r="V12">
        <v>8</v>
      </c>
      <c r="W12">
        <v>4</v>
      </c>
      <c r="X12">
        <v>69</v>
      </c>
      <c r="Y12">
        <v>14</v>
      </c>
      <c r="AC12">
        <f>U12/U13</f>
        <v>0.88515954733910618</v>
      </c>
      <c r="AD12">
        <f t="shared" ref="AD12" si="3">I12-I13</f>
        <v>5</v>
      </c>
    </row>
    <row r="13" spans="1:36" x14ac:dyDescent="0.25">
      <c r="A13">
        <v>2.2124039999999998E-3</v>
      </c>
      <c r="B13">
        <v>1.75816993464052</v>
      </c>
      <c r="C13">
        <v>18.625</v>
      </c>
      <c r="D13">
        <v>307</v>
      </c>
      <c r="E13">
        <v>33</v>
      </c>
      <c r="F13">
        <v>14</v>
      </c>
      <c r="G13" t="s">
        <v>25</v>
      </c>
      <c r="H13">
        <v>5</v>
      </c>
      <c r="I13">
        <v>84</v>
      </c>
      <c r="J13">
        <v>14</v>
      </c>
      <c r="K13">
        <v>5</v>
      </c>
      <c r="L13" t="s">
        <v>33</v>
      </c>
      <c r="M13">
        <v>208</v>
      </c>
      <c r="N13">
        <v>538</v>
      </c>
      <c r="O13">
        <v>208</v>
      </c>
      <c r="P13">
        <v>14</v>
      </c>
      <c r="Q13">
        <v>1</v>
      </c>
      <c r="R13">
        <v>2.6786059999999998</v>
      </c>
      <c r="S13" t="s">
        <v>28</v>
      </c>
      <c r="T13">
        <v>3.0965399999999997E-4</v>
      </c>
      <c r="U13">
        <v>2.5214460000000001E-3</v>
      </c>
      <c r="V13">
        <v>8</v>
      </c>
      <c r="W13">
        <v>3</v>
      </c>
      <c r="X13">
        <v>65</v>
      </c>
      <c r="Y13">
        <v>14</v>
      </c>
    </row>
    <row r="14" spans="1:36" x14ac:dyDescent="0.25">
      <c r="A14">
        <v>2.143009E-3</v>
      </c>
      <c r="B14">
        <v>2.1285714285714201</v>
      </c>
      <c r="C14">
        <v>12.625</v>
      </c>
      <c r="D14">
        <v>126</v>
      </c>
      <c r="E14">
        <v>33</v>
      </c>
      <c r="F14">
        <v>15</v>
      </c>
      <c r="G14" t="s">
        <v>25</v>
      </c>
      <c r="H14">
        <v>6</v>
      </c>
      <c r="I14">
        <v>91</v>
      </c>
      <c r="J14">
        <v>15</v>
      </c>
      <c r="K14">
        <v>6</v>
      </c>
      <c r="L14" t="s">
        <v>34</v>
      </c>
      <c r="M14">
        <v>222</v>
      </c>
      <c r="N14">
        <v>447</v>
      </c>
      <c r="O14">
        <v>222</v>
      </c>
      <c r="P14">
        <v>15</v>
      </c>
      <c r="Q14">
        <v>1</v>
      </c>
      <c r="R14">
        <v>2.5256530000000001</v>
      </c>
      <c r="S14" t="s">
        <v>27</v>
      </c>
      <c r="T14">
        <v>3.3405400000000002E-4</v>
      </c>
      <c r="U14">
        <v>2.4766110000000001E-3</v>
      </c>
      <c r="V14">
        <v>8</v>
      </c>
      <c r="W14">
        <v>5</v>
      </c>
      <c r="X14">
        <v>69</v>
      </c>
      <c r="Y14">
        <v>15</v>
      </c>
      <c r="AC14">
        <f>U14/U15</f>
        <v>1.1017354725572732</v>
      </c>
      <c r="AD14">
        <f t="shared" ref="AD14" si="4">I14-I15</f>
        <v>3</v>
      </c>
    </row>
    <row r="15" spans="1:36" x14ac:dyDescent="0.25">
      <c r="A15">
        <v>1.9561549999999998E-3</v>
      </c>
      <c r="B15">
        <v>2.0619047619047599</v>
      </c>
      <c r="C15">
        <v>12.625</v>
      </c>
      <c r="D15">
        <v>126</v>
      </c>
      <c r="E15">
        <v>33</v>
      </c>
      <c r="F15">
        <v>15</v>
      </c>
      <c r="G15" t="s">
        <v>25</v>
      </c>
      <c r="H15">
        <v>6</v>
      </c>
      <c r="I15">
        <v>88</v>
      </c>
      <c r="J15">
        <v>15</v>
      </c>
      <c r="K15">
        <v>4</v>
      </c>
      <c r="L15" t="s">
        <v>34</v>
      </c>
      <c r="M15">
        <v>187</v>
      </c>
      <c r="N15">
        <v>433</v>
      </c>
      <c r="O15">
        <v>187</v>
      </c>
      <c r="P15">
        <v>15</v>
      </c>
      <c r="Q15">
        <v>1</v>
      </c>
      <c r="R15">
        <v>2.2977280000000002</v>
      </c>
      <c r="S15" t="s">
        <v>28</v>
      </c>
      <c r="T15">
        <v>2.9234299999999998E-4</v>
      </c>
      <c r="U15">
        <v>2.2479179999999998E-3</v>
      </c>
      <c r="V15">
        <v>8</v>
      </c>
      <c r="W15">
        <v>3</v>
      </c>
      <c r="X15">
        <v>68</v>
      </c>
      <c r="Y15">
        <v>15</v>
      </c>
    </row>
    <row r="16" spans="1:36" x14ac:dyDescent="0.25">
      <c r="A16">
        <v>3.029842E-2</v>
      </c>
      <c r="B16">
        <v>6.04981884057971</v>
      </c>
      <c r="C16">
        <v>19.214284896850501</v>
      </c>
      <c r="D16">
        <v>4877</v>
      </c>
      <c r="E16">
        <v>33</v>
      </c>
      <c r="F16">
        <v>136</v>
      </c>
      <c r="G16" t="s">
        <v>25</v>
      </c>
      <c r="H16">
        <v>7</v>
      </c>
      <c r="I16">
        <v>264</v>
      </c>
      <c r="J16">
        <v>136</v>
      </c>
      <c r="K16">
        <v>42</v>
      </c>
      <c r="L16" t="s">
        <v>35</v>
      </c>
      <c r="M16">
        <v>4929</v>
      </c>
      <c r="N16">
        <v>6679</v>
      </c>
      <c r="O16">
        <v>4929</v>
      </c>
      <c r="P16">
        <v>46</v>
      </c>
      <c r="Q16">
        <v>1</v>
      </c>
      <c r="R16">
        <v>124.884094</v>
      </c>
      <c r="S16" t="s">
        <v>27</v>
      </c>
      <c r="T16">
        <v>9.4220588999999993E-2</v>
      </c>
      <c r="U16">
        <v>0.12451841299999999</v>
      </c>
      <c r="V16">
        <v>28</v>
      </c>
      <c r="W16">
        <v>180</v>
      </c>
      <c r="X16">
        <v>36</v>
      </c>
      <c r="Y16">
        <v>136</v>
      </c>
      <c r="AC16">
        <f>U16/U17</f>
        <v>0.73085574343720494</v>
      </c>
      <c r="AD16">
        <f t="shared" ref="AD16" si="5">I16-I17</f>
        <v>-13</v>
      </c>
    </row>
    <row r="17" spans="1:30" x14ac:dyDescent="0.25">
      <c r="A17">
        <v>3.5814235E-2</v>
      </c>
      <c r="B17">
        <v>7.2019927536231796</v>
      </c>
      <c r="C17">
        <v>19.214284896850501</v>
      </c>
      <c r="D17">
        <v>4877</v>
      </c>
      <c r="E17">
        <v>33</v>
      </c>
      <c r="F17">
        <v>136</v>
      </c>
      <c r="G17" t="s">
        <v>25</v>
      </c>
      <c r="H17">
        <v>7</v>
      </c>
      <c r="I17">
        <v>277</v>
      </c>
      <c r="J17">
        <v>136</v>
      </c>
      <c r="K17">
        <v>48</v>
      </c>
      <c r="L17" t="s">
        <v>35</v>
      </c>
      <c r="M17">
        <v>5024</v>
      </c>
      <c r="N17">
        <v>7951</v>
      </c>
      <c r="O17">
        <v>5024</v>
      </c>
      <c r="P17">
        <v>46</v>
      </c>
      <c r="Q17">
        <v>1</v>
      </c>
      <c r="R17">
        <v>171.03693200000001</v>
      </c>
      <c r="S17" t="s">
        <v>28</v>
      </c>
      <c r="T17">
        <v>0.13455987899999999</v>
      </c>
      <c r="U17">
        <v>0.17037344800000001</v>
      </c>
      <c r="V17">
        <v>28</v>
      </c>
      <c r="W17">
        <v>175</v>
      </c>
      <c r="X17">
        <v>54</v>
      </c>
      <c r="Y17">
        <v>136</v>
      </c>
    </row>
    <row r="18" spans="1:30" x14ac:dyDescent="0.25">
      <c r="A18">
        <v>8.7811279999999992E-3</v>
      </c>
      <c r="B18">
        <v>2.7700729927007299</v>
      </c>
      <c r="C18">
        <v>20.049999237060501</v>
      </c>
      <c r="D18">
        <v>2616</v>
      </c>
      <c r="E18">
        <v>33</v>
      </c>
      <c r="F18">
        <v>40</v>
      </c>
      <c r="G18" t="s">
        <v>25</v>
      </c>
      <c r="H18">
        <v>8</v>
      </c>
      <c r="I18">
        <v>195</v>
      </c>
      <c r="J18">
        <v>40</v>
      </c>
      <c r="K18">
        <v>11</v>
      </c>
      <c r="L18" t="s">
        <v>36</v>
      </c>
      <c r="M18">
        <v>1310</v>
      </c>
      <c r="N18">
        <v>2277</v>
      </c>
      <c r="O18">
        <v>1310</v>
      </c>
      <c r="P18">
        <v>40</v>
      </c>
      <c r="Q18">
        <v>1</v>
      </c>
      <c r="R18">
        <v>12.4849</v>
      </c>
      <c r="S18" t="s">
        <v>27</v>
      </c>
      <c r="T18">
        <v>3.3282709999999998E-3</v>
      </c>
      <c r="U18">
        <v>1.2108763999999999E-2</v>
      </c>
      <c r="V18">
        <v>20</v>
      </c>
      <c r="W18">
        <v>56</v>
      </c>
      <c r="X18">
        <v>97</v>
      </c>
      <c r="Y18">
        <v>40</v>
      </c>
      <c r="AC18">
        <f>U18/U19</f>
        <v>0.71538445677783125</v>
      </c>
      <c r="AD18">
        <f t="shared" ref="AD18" si="6">I18-I19</f>
        <v>-16</v>
      </c>
    </row>
    <row r="19" spans="1:30" x14ac:dyDescent="0.25">
      <c r="A19">
        <v>1.1522604999999899E-2</v>
      </c>
      <c r="B19">
        <v>3.1143552311435498</v>
      </c>
      <c r="C19">
        <v>20.049999237060501</v>
      </c>
      <c r="D19">
        <v>2616</v>
      </c>
      <c r="E19">
        <v>33</v>
      </c>
      <c r="F19">
        <v>40</v>
      </c>
      <c r="G19" t="s">
        <v>25</v>
      </c>
      <c r="H19">
        <v>8</v>
      </c>
      <c r="I19">
        <v>211</v>
      </c>
      <c r="J19">
        <v>40</v>
      </c>
      <c r="K19">
        <v>14</v>
      </c>
      <c r="L19" t="s">
        <v>36</v>
      </c>
      <c r="M19">
        <v>1373</v>
      </c>
      <c r="N19">
        <v>2560</v>
      </c>
      <c r="O19">
        <v>1373</v>
      </c>
      <c r="P19">
        <v>40</v>
      </c>
      <c r="Q19">
        <v>1</v>
      </c>
      <c r="R19">
        <v>17.168203999999999</v>
      </c>
      <c r="S19" t="s">
        <v>28</v>
      </c>
      <c r="T19">
        <v>5.4040570000000003E-3</v>
      </c>
      <c r="U19">
        <v>1.6926232999999999E-2</v>
      </c>
      <c r="V19">
        <v>20</v>
      </c>
      <c r="W19">
        <v>71</v>
      </c>
      <c r="X19">
        <v>98</v>
      </c>
      <c r="Y19">
        <v>40</v>
      </c>
    </row>
    <row r="20" spans="1:30" x14ac:dyDescent="0.25">
      <c r="A20">
        <v>7.0124689999999899E-3</v>
      </c>
      <c r="B20">
        <v>2.6425196850393702</v>
      </c>
      <c r="C20">
        <v>18.176469802856399</v>
      </c>
      <c r="D20">
        <v>1632</v>
      </c>
      <c r="E20">
        <v>33</v>
      </c>
      <c r="F20">
        <v>33</v>
      </c>
      <c r="G20" t="s">
        <v>25</v>
      </c>
      <c r="H20">
        <v>9</v>
      </c>
      <c r="I20">
        <v>156</v>
      </c>
      <c r="J20">
        <v>33</v>
      </c>
      <c r="K20">
        <v>11</v>
      </c>
      <c r="L20" t="s">
        <v>37</v>
      </c>
      <c r="M20">
        <v>945</v>
      </c>
      <c r="N20">
        <v>1678</v>
      </c>
      <c r="O20">
        <v>945</v>
      </c>
      <c r="P20">
        <v>23</v>
      </c>
      <c r="Q20">
        <v>1</v>
      </c>
      <c r="R20">
        <v>10.053599</v>
      </c>
      <c r="S20" t="s">
        <v>27</v>
      </c>
      <c r="T20">
        <v>2.9661499999999999E-3</v>
      </c>
      <c r="U20">
        <v>9.9779469999999992E-3</v>
      </c>
      <c r="V20">
        <v>17</v>
      </c>
      <c r="W20">
        <v>44</v>
      </c>
      <c r="X20">
        <v>87</v>
      </c>
      <c r="Y20">
        <v>33</v>
      </c>
      <c r="AC20">
        <f>U20/U21</f>
        <v>0.60569372119062126</v>
      </c>
      <c r="AD20">
        <f t="shared" ref="AD20" si="7">I20-I21</f>
        <v>-63</v>
      </c>
    </row>
    <row r="21" spans="1:30" x14ac:dyDescent="0.25">
      <c r="A21">
        <v>1.0803337999999999E-2</v>
      </c>
      <c r="B21">
        <v>3.5464566929133801</v>
      </c>
      <c r="C21">
        <v>18.176469802856399</v>
      </c>
      <c r="D21">
        <v>1632</v>
      </c>
      <c r="E21">
        <v>33</v>
      </c>
      <c r="F21">
        <v>33</v>
      </c>
      <c r="G21" t="s">
        <v>25</v>
      </c>
      <c r="H21">
        <v>9</v>
      </c>
      <c r="I21">
        <v>219</v>
      </c>
      <c r="J21">
        <v>33</v>
      </c>
      <c r="K21">
        <v>15</v>
      </c>
      <c r="L21" t="s">
        <v>37</v>
      </c>
      <c r="M21">
        <v>1347</v>
      </c>
      <c r="N21">
        <v>2252</v>
      </c>
      <c r="O21">
        <v>1347</v>
      </c>
      <c r="P21">
        <v>23</v>
      </c>
      <c r="Q21">
        <v>1</v>
      </c>
      <c r="R21">
        <v>16.734065000000001</v>
      </c>
      <c r="S21" t="s">
        <v>28</v>
      </c>
      <c r="T21">
        <v>5.6706300000000003E-3</v>
      </c>
      <c r="U21">
        <v>1.6473584999999999E-2</v>
      </c>
      <c r="V21">
        <v>17</v>
      </c>
      <c r="W21">
        <v>51</v>
      </c>
      <c r="X21">
        <v>143</v>
      </c>
      <c r="Y21">
        <v>33</v>
      </c>
    </row>
    <row r="22" spans="1:30" x14ac:dyDescent="0.25">
      <c r="A22">
        <v>1.359557E-2</v>
      </c>
      <c r="B22">
        <v>2.6344262295081902</v>
      </c>
      <c r="C22">
        <v>19.8333339691162</v>
      </c>
      <c r="D22">
        <v>6162</v>
      </c>
      <c r="E22">
        <v>33</v>
      </c>
      <c r="F22">
        <v>25</v>
      </c>
      <c r="G22" t="s">
        <v>25</v>
      </c>
      <c r="H22">
        <v>10</v>
      </c>
      <c r="I22">
        <v>142</v>
      </c>
      <c r="J22">
        <v>25</v>
      </c>
      <c r="K22">
        <v>11</v>
      </c>
      <c r="L22" t="s">
        <v>38</v>
      </c>
      <c r="M22">
        <v>1777</v>
      </c>
      <c r="N22">
        <v>3214</v>
      </c>
      <c r="O22">
        <v>1777</v>
      </c>
      <c r="P22">
        <v>25</v>
      </c>
      <c r="Q22">
        <v>1</v>
      </c>
      <c r="R22">
        <v>21.961259999999999</v>
      </c>
      <c r="S22" t="s">
        <v>27</v>
      </c>
      <c r="T22">
        <v>8.1750380000000008E-3</v>
      </c>
      <c r="U22">
        <v>2.1769989999999999E-2</v>
      </c>
      <c r="V22">
        <v>30</v>
      </c>
      <c r="W22">
        <v>72</v>
      </c>
      <c r="X22">
        <v>43</v>
      </c>
      <c r="Y22">
        <v>25</v>
      </c>
      <c r="AC22">
        <f>U22/U23</f>
        <v>1.3085834820743216</v>
      </c>
      <c r="AD22">
        <f t="shared" ref="AD22" si="8">I22-I23</f>
        <v>20</v>
      </c>
    </row>
    <row r="23" spans="1:30" x14ac:dyDescent="0.25">
      <c r="A23">
        <v>1.0409745999999999E-2</v>
      </c>
      <c r="B23">
        <v>2.57950819672131</v>
      </c>
      <c r="C23">
        <v>19.8333339691162</v>
      </c>
      <c r="D23">
        <v>6162</v>
      </c>
      <c r="E23">
        <v>33</v>
      </c>
      <c r="F23">
        <v>25</v>
      </c>
      <c r="G23" t="s">
        <v>25</v>
      </c>
      <c r="H23">
        <v>10</v>
      </c>
      <c r="I23">
        <v>122</v>
      </c>
      <c r="J23">
        <v>25</v>
      </c>
      <c r="K23">
        <v>13</v>
      </c>
      <c r="L23" t="s">
        <v>38</v>
      </c>
      <c r="M23">
        <v>1448</v>
      </c>
      <c r="N23">
        <v>3147</v>
      </c>
      <c r="O23">
        <v>1448</v>
      </c>
      <c r="P23">
        <v>25</v>
      </c>
      <c r="Q23">
        <v>1</v>
      </c>
      <c r="R23">
        <v>16.882362000000001</v>
      </c>
      <c r="S23" t="s">
        <v>28</v>
      </c>
      <c r="T23">
        <v>6.2271389999999996E-3</v>
      </c>
      <c r="U23">
        <v>1.6636301999999999E-2</v>
      </c>
      <c r="V23">
        <v>30</v>
      </c>
      <c r="W23">
        <v>62</v>
      </c>
      <c r="X23">
        <v>33</v>
      </c>
      <c r="Y23">
        <v>25</v>
      </c>
    </row>
    <row r="24" spans="1:30" x14ac:dyDescent="0.25">
      <c r="A24">
        <v>2.1624482E-2</v>
      </c>
      <c r="B24">
        <v>2.8159163987138198</v>
      </c>
      <c r="C24">
        <v>21.714284896850501</v>
      </c>
      <c r="D24">
        <v>6393</v>
      </c>
      <c r="E24">
        <v>33</v>
      </c>
      <c r="F24">
        <v>29</v>
      </c>
      <c r="G24" t="s">
        <v>25</v>
      </c>
      <c r="H24">
        <v>11</v>
      </c>
      <c r="I24">
        <v>192</v>
      </c>
      <c r="J24">
        <v>29</v>
      </c>
      <c r="K24">
        <v>11</v>
      </c>
      <c r="L24" t="s">
        <v>39</v>
      </c>
      <c r="M24">
        <v>2042</v>
      </c>
      <c r="N24">
        <v>3503</v>
      </c>
      <c r="O24">
        <v>2042</v>
      </c>
      <c r="P24">
        <v>29</v>
      </c>
      <c r="Q24">
        <v>1</v>
      </c>
      <c r="R24">
        <v>37.794496000000002</v>
      </c>
      <c r="S24" t="s">
        <v>27</v>
      </c>
      <c r="T24">
        <v>1.5912307000000001E-2</v>
      </c>
      <c r="U24">
        <v>3.7536222000000001E-2</v>
      </c>
      <c r="V24">
        <v>28</v>
      </c>
      <c r="W24">
        <v>70</v>
      </c>
      <c r="X24">
        <v>91</v>
      </c>
      <c r="Y24">
        <v>29</v>
      </c>
      <c r="AC24">
        <f>U24/U25</f>
        <v>1.0090887887500599</v>
      </c>
      <c r="AD24">
        <f t="shared" ref="AD24" si="9">I24-I25</f>
        <v>1</v>
      </c>
    </row>
    <row r="25" spans="1:30" x14ac:dyDescent="0.25">
      <c r="A25">
        <v>1.8129006E-2</v>
      </c>
      <c r="B25">
        <v>3.1085209003215399</v>
      </c>
      <c r="C25">
        <v>21.714284896850501</v>
      </c>
      <c r="D25">
        <v>6393</v>
      </c>
      <c r="E25">
        <v>33</v>
      </c>
      <c r="F25">
        <v>29</v>
      </c>
      <c r="G25" t="s">
        <v>25</v>
      </c>
      <c r="H25">
        <v>11</v>
      </c>
      <c r="I25">
        <v>191</v>
      </c>
      <c r="J25">
        <v>29</v>
      </c>
      <c r="K25">
        <v>14</v>
      </c>
      <c r="L25" t="s">
        <v>39</v>
      </c>
      <c r="M25">
        <v>2051</v>
      </c>
      <c r="N25">
        <v>3867</v>
      </c>
      <c r="O25">
        <v>2051</v>
      </c>
      <c r="P25">
        <v>29</v>
      </c>
      <c r="Q25">
        <v>1</v>
      </c>
      <c r="R25">
        <v>37.587231000000003</v>
      </c>
      <c r="S25" t="s">
        <v>28</v>
      </c>
      <c r="T25">
        <v>1.9069776E-2</v>
      </c>
      <c r="U25">
        <v>3.7198136E-2</v>
      </c>
      <c r="V25">
        <v>28</v>
      </c>
      <c r="W25">
        <v>80</v>
      </c>
      <c r="X25">
        <v>80</v>
      </c>
      <c r="Y25">
        <v>29</v>
      </c>
    </row>
    <row r="26" spans="1:30" x14ac:dyDescent="0.25">
      <c r="A26">
        <v>4.4110299999999998E-3</v>
      </c>
      <c r="B26">
        <v>1.2398753894080901</v>
      </c>
      <c r="C26">
        <v>17.3333339691162</v>
      </c>
      <c r="D26">
        <v>2022</v>
      </c>
      <c r="E26">
        <v>25</v>
      </c>
      <c r="F26">
        <v>7</v>
      </c>
      <c r="G26" t="s">
        <v>25</v>
      </c>
      <c r="H26">
        <v>12</v>
      </c>
      <c r="I26">
        <v>96</v>
      </c>
      <c r="J26">
        <v>7</v>
      </c>
      <c r="K26">
        <v>4</v>
      </c>
      <c r="L26" t="s">
        <v>40</v>
      </c>
      <c r="M26">
        <v>145</v>
      </c>
      <c r="N26">
        <v>796</v>
      </c>
      <c r="O26">
        <v>145</v>
      </c>
      <c r="P26">
        <v>7</v>
      </c>
      <c r="Q26">
        <v>1</v>
      </c>
      <c r="R26">
        <v>5.1161560000000001</v>
      </c>
      <c r="S26" t="s">
        <v>27</v>
      </c>
      <c r="T26">
        <v>6.3544399999999998E-4</v>
      </c>
      <c r="U26">
        <v>5.0457150000000001E-3</v>
      </c>
      <c r="V26">
        <v>18</v>
      </c>
      <c r="W26">
        <v>3</v>
      </c>
      <c r="X26">
        <v>84</v>
      </c>
      <c r="Y26">
        <v>7</v>
      </c>
      <c r="AC26">
        <f>U26/U27</f>
        <v>2.5791460734806795</v>
      </c>
      <c r="AD26">
        <f t="shared" ref="AD26" si="10">I26-I27</f>
        <v>26</v>
      </c>
    </row>
    <row r="27" spans="1:30" x14ac:dyDescent="0.25">
      <c r="A27">
        <v>1.8131779999999999E-3</v>
      </c>
      <c r="B27">
        <v>1.16510903426791</v>
      </c>
      <c r="C27">
        <v>17.3333339691162</v>
      </c>
      <c r="D27">
        <v>2022</v>
      </c>
      <c r="E27">
        <v>25</v>
      </c>
      <c r="F27">
        <v>7</v>
      </c>
      <c r="G27" t="s">
        <v>25</v>
      </c>
      <c r="H27">
        <v>12</v>
      </c>
      <c r="I27">
        <v>70</v>
      </c>
      <c r="J27">
        <v>7</v>
      </c>
      <c r="K27">
        <v>3</v>
      </c>
      <c r="L27" t="s">
        <v>40</v>
      </c>
      <c r="M27">
        <v>90</v>
      </c>
      <c r="N27">
        <v>748</v>
      </c>
      <c r="O27">
        <v>90</v>
      </c>
      <c r="P27">
        <v>7</v>
      </c>
      <c r="Q27">
        <v>1</v>
      </c>
      <c r="R27">
        <v>2.0241730000000002</v>
      </c>
      <c r="S27" t="s">
        <v>28</v>
      </c>
      <c r="T27">
        <v>1.4368200000000001E-4</v>
      </c>
      <c r="U27">
        <v>1.9563509999999998E-3</v>
      </c>
      <c r="V27">
        <v>18</v>
      </c>
      <c r="W27">
        <v>2</v>
      </c>
      <c r="X27">
        <v>59</v>
      </c>
      <c r="Y27">
        <v>7</v>
      </c>
    </row>
    <row r="28" spans="1:30" x14ac:dyDescent="0.25">
      <c r="A28">
        <v>1.0346909999999999E-3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1.128428</v>
      </c>
      <c r="S28" t="s">
        <v>27</v>
      </c>
      <c r="T28" s="1">
        <v>7.7044000000000003E-5</v>
      </c>
      <c r="U28">
        <v>1.1112229999999999E-3</v>
      </c>
      <c r="V28">
        <v>5</v>
      </c>
      <c r="W28">
        <v>3</v>
      </c>
      <c r="X28">
        <v>46</v>
      </c>
      <c r="Y28">
        <v>5</v>
      </c>
      <c r="AC28">
        <f>U28/U29</f>
        <v>1.0720161532279926</v>
      </c>
      <c r="AD28">
        <f t="shared" ref="AD28" si="11">I28-I29</f>
        <v>4</v>
      </c>
    </row>
    <row r="29" spans="1:30" x14ac:dyDescent="0.25">
      <c r="A29">
        <v>9.4486500000000003E-4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1.0980430000000001</v>
      </c>
      <c r="S29" t="s">
        <v>28</v>
      </c>
      <c r="T29" s="1">
        <v>9.2255000000000004E-5</v>
      </c>
      <c r="U29">
        <v>1.0365730000000001E-3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1.174993E-3</v>
      </c>
      <c r="B30">
        <v>2.3468208092485501</v>
      </c>
      <c r="C30">
        <v>16.799999237060501</v>
      </c>
      <c r="D30">
        <v>136</v>
      </c>
      <c r="E30">
        <v>20</v>
      </c>
      <c r="F30">
        <v>7</v>
      </c>
      <c r="G30" t="s">
        <v>25</v>
      </c>
      <c r="H30">
        <v>14</v>
      </c>
      <c r="I30">
        <v>68</v>
      </c>
      <c r="J30">
        <v>7</v>
      </c>
      <c r="K30">
        <v>6</v>
      </c>
      <c r="L30" t="s">
        <v>42</v>
      </c>
      <c r="M30">
        <v>218</v>
      </c>
      <c r="N30">
        <v>406</v>
      </c>
      <c r="O30">
        <v>218</v>
      </c>
      <c r="P30">
        <v>7</v>
      </c>
      <c r="Q30">
        <v>1</v>
      </c>
      <c r="R30">
        <v>1.42611</v>
      </c>
      <c r="S30" t="s">
        <v>27</v>
      </c>
      <c r="T30">
        <v>2.3160499999999999E-4</v>
      </c>
      <c r="U30">
        <v>1.405437E-3</v>
      </c>
      <c r="V30">
        <v>5</v>
      </c>
      <c r="W30">
        <v>6</v>
      </c>
      <c r="X30">
        <v>55</v>
      </c>
      <c r="Y30">
        <v>7</v>
      </c>
      <c r="AC30">
        <f>U30/U31</f>
        <v>0.87815608322955985</v>
      </c>
      <c r="AD30">
        <f t="shared" ref="AD30" si="12">I30-I31</f>
        <v>3</v>
      </c>
    </row>
    <row r="31" spans="1:30" x14ac:dyDescent="0.25">
      <c r="A31">
        <v>1.328652E-3</v>
      </c>
      <c r="B31">
        <v>2.2890173410404602</v>
      </c>
      <c r="C31">
        <v>16.799999237060501</v>
      </c>
      <c r="D31">
        <v>136</v>
      </c>
      <c r="E31">
        <v>20</v>
      </c>
      <c r="F31">
        <v>7</v>
      </c>
      <c r="G31" t="s">
        <v>25</v>
      </c>
      <c r="H31">
        <v>14</v>
      </c>
      <c r="I31">
        <v>65</v>
      </c>
      <c r="J31">
        <v>7</v>
      </c>
      <c r="K31">
        <v>6</v>
      </c>
      <c r="L31" t="s">
        <v>42</v>
      </c>
      <c r="M31">
        <v>195</v>
      </c>
      <c r="N31">
        <v>396</v>
      </c>
      <c r="O31">
        <v>195</v>
      </c>
      <c r="P31">
        <v>7</v>
      </c>
      <c r="Q31">
        <v>1</v>
      </c>
      <c r="R31">
        <v>1.6444220000000001</v>
      </c>
      <c r="S31" t="s">
        <v>28</v>
      </c>
      <c r="T31">
        <v>2.7240000000000001E-4</v>
      </c>
      <c r="U31">
        <v>1.600441E-3</v>
      </c>
      <c r="V31">
        <v>5</v>
      </c>
      <c r="W31">
        <v>4</v>
      </c>
      <c r="X31">
        <v>54</v>
      </c>
      <c r="Y31">
        <v>7</v>
      </c>
    </row>
    <row r="32" spans="1:30" x14ac:dyDescent="0.25">
      <c r="A32">
        <v>3.2615270000000002E-3</v>
      </c>
      <c r="B32">
        <v>2.06079027355623</v>
      </c>
      <c r="C32">
        <v>15.949999809265099</v>
      </c>
      <c r="D32">
        <v>2246</v>
      </c>
      <c r="E32">
        <v>25</v>
      </c>
      <c r="F32">
        <v>301</v>
      </c>
      <c r="G32" t="s">
        <v>25</v>
      </c>
      <c r="H32">
        <v>15</v>
      </c>
      <c r="I32">
        <v>99</v>
      </c>
      <c r="J32">
        <v>301</v>
      </c>
      <c r="K32">
        <v>17</v>
      </c>
      <c r="L32" t="s">
        <v>43</v>
      </c>
      <c r="M32">
        <v>620</v>
      </c>
      <c r="N32">
        <v>1356</v>
      </c>
      <c r="O32">
        <v>620</v>
      </c>
      <c r="P32">
        <v>10</v>
      </c>
      <c r="Q32">
        <v>1</v>
      </c>
      <c r="R32">
        <v>4.1490400000000003</v>
      </c>
      <c r="S32" t="s">
        <v>27</v>
      </c>
      <c r="T32">
        <v>8.3455499999999995E-4</v>
      </c>
      <c r="U32">
        <v>4.0954600000000004E-3</v>
      </c>
      <c r="V32">
        <v>20</v>
      </c>
      <c r="W32">
        <v>52</v>
      </c>
      <c r="X32">
        <v>35</v>
      </c>
      <c r="Y32">
        <v>301</v>
      </c>
      <c r="AC32">
        <f>U32/U33</f>
        <v>0.79118149055759956</v>
      </c>
      <c r="AD32">
        <f t="shared" ref="AD32" si="13">I32-I33</f>
        <v>7</v>
      </c>
    </row>
    <row r="33" spans="1:30" x14ac:dyDescent="0.25">
      <c r="A33">
        <v>4.0608229999999999E-3</v>
      </c>
      <c r="B33">
        <v>2.1322188449847999</v>
      </c>
      <c r="C33">
        <v>15.949999809265099</v>
      </c>
      <c r="D33">
        <v>2246</v>
      </c>
      <c r="E33">
        <v>25</v>
      </c>
      <c r="F33">
        <v>301</v>
      </c>
      <c r="G33" t="s">
        <v>25</v>
      </c>
      <c r="H33">
        <v>15</v>
      </c>
      <c r="I33">
        <v>92</v>
      </c>
      <c r="J33">
        <v>301</v>
      </c>
      <c r="K33">
        <v>16</v>
      </c>
      <c r="L33" t="s">
        <v>43</v>
      </c>
      <c r="M33">
        <v>502</v>
      </c>
      <c r="N33">
        <v>1403</v>
      </c>
      <c r="O33">
        <v>502</v>
      </c>
      <c r="P33">
        <v>10</v>
      </c>
      <c r="Q33">
        <v>1</v>
      </c>
      <c r="R33">
        <v>5.2432109999999996</v>
      </c>
      <c r="S33" t="s">
        <v>28</v>
      </c>
      <c r="T33">
        <v>1.116122E-3</v>
      </c>
      <c r="U33">
        <v>5.1763850000000004E-3</v>
      </c>
      <c r="V33">
        <v>20</v>
      </c>
      <c r="W33">
        <v>45</v>
      </c>
      <c r="X33">
        <v>35</v>
      </c>
      <c r="Y33">
        <v>301</v>
      </c>
    </row>
    <row r="34" spans="1:30" x14ac:dyDescent="0.25">
      <c r="A34">
        <v>1.1881039999999999E-3</v>
      </c>
      <c r="B34">
        <v>1.5464480874316899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3</v>
      </c>
      <c r="L34" t="s">
        <v>44</v>
      </c>
      <c r="M34">
        <v>94</v>
      </c>
      <c r="N34">
        <v>283</v>
      </c>
      <c r="O34">
        <v>94</v>
      </c>
      <c r="P34">
        <v>2</v>
      </c>
      <c r="Q34">
        <v>1</v>
      </c>
      <c r="R34">
        <v>1.3580080000000001</v>
      </c>
      <c r="S34" t="s">
        <v>27</v>
      </c>
      <c r="T34">
        <v>1.4526E-4</v>
      </c>
      <c r="U34">
        <v>1.3329500000000001E-3</v>
      </c>
      <c r="V34">
        <v>5</v>
      </c>
      <c r="W34">
        <v>2</v>
      </c>
      <c r="X34">
        <v>67</v>
      </c>
      <c r="Y34">
        <v>2</v>
      </c>
      <c r="AC34">
        <f>U34/U35</f>
        <v>1.1854492870139965</v>
      </c>
      <c r="AD34">
        <f t="shared" ref="AD34" si="14">I34-I35</f>
        <v>4</v>
      </c>
    </row>
    <row r="35" spans="1:30" x14ac:dyDescent="0.25">
      <c r="A35">
        <v>9.9240700000000005E-4</v>
      </c>
      <c r="B35">
        <v>1.63387978142076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4</v>
      </c>
      <c r="L35" t="s">
        <v>44</v>
      </c>
      <c r="M35">
        <v>100</v>
      </c>
      <c r="N35">
        <v>299</v>
      </c>
      <c r="O35">
        <v>100</v>
      </c>
      <c r="P35">
        <v>2</v>
      </c>
      <c r="Q35">
        <v>1</v>
      </c>
      <c r="R35">
        <v>1.1523319999999999</v>
      </c>
      <c r="S35" t="s">
        <v>28</v>
      </c>
      <c r="T35">
        <v>1.3239799999999999E-4</v>
      </c>
      <c r="U35">
        <v>1.124426E-3</v>
      </c>
      <c r="V35">
        <v>5</v>
      </c>
      <c r="W35">
        <v>3</v>
      </c>
      <c r="X35">
        <v>62</v>
      </c>
      <c r="Y35">
        <v>2</v>
      </c>
    </row>
    <row r="36" spans="1:30" x14ac:dyDescent="0.25">
      <c r="A36">
        <v>3.00212E-4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0.324152</v>
      </c>
      <c r="S36" t="s">
        <v>27</v>
      </c>
      <c r="T36" s="1">
        <v>1.1773999999999999E-5</v>
      </c>
      <c r="U36">
        <v>3.1157599999999999E-4</v>
      </c>
      <c r="V36">
        <v>5</v>
      </c>
      <c r="W36">
        <v>0</v>
      </c>
      <c r="X36">
        <v>13</v>
      </c>
      <c r="Y36">
        <v>2</v>
      </c>
      <c r="AC36">
        <f>U36/U37</f>
        <v>1.2689212524028279</v>
      </c>
      <c r="AD36">
        <f t="shared" ref="AD36" si="15">I36-I37</f>
        <v>1</v>
      </c>
    </row>
    <row r="37" spans="1:30" x14ac:dyDescent="0.25">
      <c r="A37">
        <v>2.36469E-4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0.266567</v>
      </c>
      <c r="S37" t="s">
        <v>28</v>
      </c>
      <c r="T37" s="1">
        <v>9.4709999999999996E-6</v>
      </c>
      <c r="U37">
        <v>2.4554399999999999E-4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5.952883E-3</v>
      </c>
      <c r="B38">
        <v>3.08597883597883</v>
      </c>
      <c r="C38">
        <v>15.25</v>
      </c>
      <c r="D38">
        <v>2865</v>
      </c>
      <c r="E38">
        <v>25</v>
      </c>
      <c r="F38">
        <v>370</v>
      </c>
      <c r="G38" t="s">
        <v>25</v>
      </c>
      <c r="H38">
        <v>18</v>
      </c>
      <c r="I38">
        <v>123</v>
      </c>
      <c r="J38">
        <v>370</v>
      </c>
      <c r="K38">
        <v>26</v>
      </c>
      <c r="L38" t="s">
        <v>46</v>
      </c>
      <c r="M38">
        <v>1472</v>
      </c>
      <c r="N38">
        <v>2333</v>
      </c>
      <c r="O38">
        <v>1472</v>
      </c>
      <c r="P38">
        <v>19</v>
      </c>
      <c r="Q38">
        <v>1</v>
      </c>
      <c r="R38">
        <v>9.9326340000000002</v>
      </c>
      <c r="S38" t="s">
        <v>27</v>
      </c>
      <c r="T38">
        <v>3.861555E-3</v>
      </c>
      <c r="U38">
        <v>9.8139030000000006E-3</v>
      </c>
      <c r="V38">
        <v>24</v>
      </c>
      <c r="W38">
        <v>55</v>
      </c>
      <c r="X38">
        <v>47</v>
      </c>
      <c r="Y38">
        <v>370</v>
      </c>
      <c r="AC38">
        <f>U38/U39</f>
        <v>1.1718500308488333</v>
      </c>
      <c r="AD38">
        <f t="shared" ref="AD38" si="16">I38-I39</f>
        <v>17</v>
      </c>
    </row>
    <row r="39" spans="1:30" x14ac:dyDescent="0.25">
      <c r="A39">
        <v>5.5327579999999996E-3</v>
      </c>
      <c r="B39">
        <v>3.09920634920634</v>
      </c>
      <c r="C39">
        <v>15.25</v>
      </c>
      <c r="D39">
        <v>2865</v>
      </c>
      <c r="E39">
        <v>25</v>
      </c>
      <c r="F39">
        <v>370</v>
      </c>
      <c r="G39" t="s">
        <v>25</v>
      </c>
      <c r="H39">
        <v>18</v>
      </c>
      <c r="I39">
        <v>106</v>
      </c>
      <c r="J39">
        <v>370</v>
      </c>
      <c r="K39">
        <v>24</v>
      </c>
      <c r="L39" t="s">
        <v>46</v>
      </c>
      <c r="M39">
        <v>1062</v>
      </c>
      <c r="N39">
        <v>2343</v>
      </c>
      <c r="O39">
        <v>1062</v>
      </c>
      <c r="P39">
        <v>19</v>
      </c>
      <c r="Q39">
        <v>1</v>
      </c>
      <c r="R39">
        <v>8.4936039999999995</v>
      </c>
      <c r="S39" t="s">
        <v>28</v>
      </c>
      <c r="T39">
        <v>2.8424660000000001E-3</v>
      </c>
      <c r="U39">
        <v>8.3747089999999993E-3</v>
      </c>
      <c r="V39">
        <v>24</v>
      </c>
      <c r="W39">
        <v>53</v>
      </c>
      <c r="X39">
        <v>32</v>
      </c>
      <c r="Y39">
        <v>370</v>
      </c>
    </row>
    <row r="40" spans="1:30" x14ac:dyDescent="0.25">
      <c r="A40">
        <v>7.4195000000000001E-4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0.81001100000000004</v>
      </c>
      <c r="S40" t="s">
        <v>27</v>
      </c>
      <c r="T40" s="1">
        <v>3.9045000000000003E-5</v>
      </c>
      <c r="U40">
        <v>7.8038800000000002E-4</v>
      </c>
      <c r="V40">
        <v>5</v>
      </c>
      <c r="W40">
        <v>0</v>
      </c>
      <c r="X40">
        <v>39</v>
      </c>
      <c r="Y40">
        <v>6</v>
      </c>
      <c r="AC40">
        <f>U40/U41</f>
        <v>1.2231556773226837</v>
      </c>
      <c r="AD40">
        <f t="shared" ref="AD40" si="17">I40-I41</f>
        <v>2</v>
      </c>
    </row>
    <row r="41" spans="1:30" x14ac:dyDescent="0.25">
      <c r="A41">
        <v>6.0365899999999999E-4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0.67028200000000004</v>
      </c>
      <c r="S41" t="s">
        <v>28</v>
      </c>
      <c r="T41" s="1">
        <v>3.4968999999999997E-5</v>
      </c>
      <c r="U41">
        <v>6.3801199999999998E-4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2.3943699999999998E-3</v>
      </c>
      <c r="B42">
        <v>2.7868020304568502</v>
      </c>
      <c r="C42">
        <v>13.571428298950099</v>
      </c>
      <c r="D42">
        <v>150</v>
      </c>
      <c r="E42">
        <v>25</v>
      </c>
      <c r="F42">
        <v>35</v>
      </c>
      <c r="G42" t="s">
        <v>25</v>
      </c>
      <c r="H42">
        <v>20</v>
      </c>
      <c r="I42">
        <v>101</v>
      </c>
      <c r="J42">
        <v>35</v>
      </c>
      <c r="K42">
        <v>7</v>
      </c>
      <c r="L42" t="s">
        <v>48</v>
      </c>
      <c r="M42">
        <v>327</v>
      </c>
      <c r="N42">
        <v>549</v>
      </c>
      <c r="O42">
        <v>327</v>
      </c>
      <c r="P42">
        <v>8</v>
      </c>
      <c r="Q42">
        <v>1</v>
      </c>
      <c r="R42">
        <v>3.1027290000000001</v>
      </c>
      <c r="S42" t="s">
        <v>27</v>
      </c>
      <c r="T42">
        <v>6.6507700000000003E-4</v>
      </c>
      <c r="U42">
        <v>3.0587959999999999E-3</v>
      </c>
      <c r="V42">
        <v>7</v>
      </c>
      <c r="W42">
        <v>9</v>
      </c>
      <c r="X42">
        <v>82</v>
      </c>
      <c r="Y42">
        <v>35</v>
      </c>
      <c r="AC42">
        <f>U42/U43</f>
        <v>1.1448468164660837</v>
      </c>
      <c r="AD42">
        <f t="shared" ref="AD42" si="18">I42-I43</f>
        <v>11</v>
      </c>
    </row>
    <row r="43" spans="1:30" x14ac:dyDescent="0.25">
      <c r="A43">
        <v>2.0992430000000002E-3</v>
      </c>
      <c r="B43">
        <v>2.8934010152284202</v>
      </c>
      <c r="C43">
        <v>13.571428298950099</v>
      </c>
      <c r="D43">
        <v>150</v>
      </c>
      <c r="E43">
        <v>25</v>
      </c>
      <c r="F43">
        <v>35</v>
      </c>
      <c r="G43" t="s">
        <v>25</v>
      </c>
      <c r="H43">
        <v>20</v>
      </c>
      <c r="I43">
        <v>90</v>
      </c>
      <c r="J43">
        <v>35</v>
      </c>
      <c r="K43">
        <v>7</v>
      </c>
      <c r="L43" t="s">
        <v>48</v>
      </c>
      <c r="M43">
        <v>315</v>
      </c>
      <c r="N43">
        <v>570</v>
      </c>
      <c r="O43">
        <v>315</v>
      </c>
      <c r="P43">
        <v>8</v>
      </c>
      <c r="Q43">
        <v>1</v>
      </c>
      <c r="R43">
        <v>2.7347950000000001</v>
      </c>
      <c r="S43" t="s">
        <v>28</v>
      </c>
      <c r="T43">
        <v>5.7331099999999996E-4</v>
      </c>
      <c r="U43">
        <v>2.6717949999999998E-3</v>
      </c>
      <c r="V43">
        <v>7</v>
      </c>
      <c r="W43">
        <v>8</v>
      </c>
      <c r="X43">
        <v>72</v>
      </c>
      <c r="Y43">
        <v>35</v>
      </c>
    </row>
    <row r="44" spans="1:30" x14ac:dyDescent="0.25">
      <c r="A44">
        <v>1.9764169999999998E-3</v>
      </c>
      <c r="B44">
        <v>2.8842105263157798</v>
      </c>
      <c r="C44">
        <v>11.375</v>
      </c>
      <c r="D44">
        <v>130</v>
      </c>
      <c r="E44">
        <v>25</v>
      </c>
      <c r="F44">
        <v>34</v>
      </c>
      <c r="G44" t="s">
        <v>25</v>
      </c>
      <c r="H44">
        <v>21</v>
      </c>
      <c r="I44">
        <v>89</v>
      </c>
      <c r="J44">
        <v>34</v>
      </c>
      <c r="K44">
        <v>9</v>
      </c>
      <c r="L44" t="s">
        <v>49</v>
      </c>
      <c r="M44">
        <v>326</v>
      </c>
      <c r="N44">
        <v>548</v>
      </c>
      <c r="O44">
        <v>326</v>
      </c>
      <c r="P44">
        <v>10</v>
      </c>
      <c r="Q44">
        <v>1</v>
      </c>
      <c r="R44">
        <v>2.4920119999999999</v>
      </c>
      <c r="S44" t="s">
        <v>27</v>
      </c>
      <c r="T44">
        <v>4.8299600000000002E-4</v>
      </c>
      <c r="U44">
        <v>2.4590290000000002E-3</v>
      </c>
      <c r="V44">
        <v>8</v>
      </c>
      <c r="W44">
        <v>13</v>
      </c>
      <c r="X44">
        <v>64</v>
      </c>
      <c r="Y44">
        <v>34</v>
      </c>
      <c r="AC44">
        <f>U44/U45</f>
        <v>1.3643891420540391</v>
      </c>
      <c r="AD44">
        <f t="shared" ref="AD44" si="19">I44-I45</f>
        <v>35</v>
      </c>
    </row>
    <row r="45" spans="1:30" x14ac:dyDescent="0.25">
      <c r="A45">
        <v>1.555811E-3</v>
      </c>
      <c r="B45">
        <v>3.0210526315789399</v>
      </c>
      <c r="C45">
        <v>11.375</v>
      </c>
      <c r="D45">
        <v>130</v>
      </c>
      <c r="E45">
        <v>25</v>
      </c>
      <c r="F45">
        <v>34</v>
      </c>
      <c r="G45" t="s">
        <v>25</v>
      </c>
      <c r="H45">
        <v>21</v>
      </c>
      <c r="I45">
        <v>54</v>
      </c>
      <c r="J45">
        <v>34</v>
      </c>
      <c r="K45">
        <v>11</v>
      </c>
      <c r="L45" t="s">
        <v>49</v>
      </c>
      <c r="M45">
        <v>310</v>
      </c>
      <c r="N45">
        <v>574</v>
      </c>
      <c r="O45">
        <v>310</v>
      </c>
      <c r="P45">
        <v>10</v>
      </c>
      <c r="Q45">
        <v>1</v>
      </c>
      <c r="R45">
        <v>1.837313</v>
      </c>
      <c r="S45" t="s">
        <v>28</v>
      </c>
      <c r="T45">
        <v>2.4688999999999999E-4</v>
      </c>
      <c r="U45">
        <v>1.802293E-3</v>
      </c>
      <c r="V45">
        <v>8</v>
      </c>
      <c r="W45">
        <v>13</v>
      </c>
      <c r="X45">
        <v>29</v>
      </c>
      <c r="Y45">
        <v>34</v>
      </c>
    </row>
    <row r="46" spans="1:30" x14ac:dyDescent="0.25">
      <c r="A46">
        <v>1.949766E-2</v>
      </c>
      <c r="B46">
        <v>4.5421383647798699</v>
      </c>
      <c r="C46">
        <v>15.399999618530201</v>
      </c>
      <c r="D46">
        <v>3202</v>
      </c>
      <c r="E46">
        <v>25</v>
      </c>
      <c r="F46">
        <v>425</v>
      </c>
      <c r="G46" t="s">
        <v>25</v>
      </c>
      <c r="H46">
        <v>22</v>
      </c>
      <c r="I46">
        <v>289</v>
      </c>
      <c r="J46">
        <v>425</v>
      </c>
      <c r="K46">
        <v>63</v>
      </c>
      <c r="L46" t="s">
        <v>50</v>
      </c>
      <c r="M46">
        <v>2618</v>
      </c>
      <c r="N46">
        <v>3611</v>
      </c>
      <c r="O46">
        <v>2618</v>
      </c>
      <c r="P46">
        <v>29</v>
      </c>
      <c r="Q46">
        <v>25</v>
      </c>
      <c r="R46">
        <v>50.565505999999999</v>
      </c>
      <c r="S46" t="s">
        <v>27</v>
      </c>
      <c r="T46">
        <v>3.0922697999999998E-2</v>
      </c>
      <c r="U46">
        <v>5.0419792999999997E-2</v>
      </c>
      <c r="V46">
        <v>25</v>
      </c>
      <c r="W46">
        <v>202</v>
      </c>
      <c r="X46">
        <v>34</v>
      </c>
      <c r="Y46">
        <v>425</v>
      </c>
      <c r="AC46">
        <f>U46/U47</f>
        <v>1.3648003761472409</v>
      </c>
      <c r="AD46">
        <f t="shared" ref="AD46" si="20">I46-I47</f>
        <v>57</v>
      </c>
    </row>
    <row r="47" spans="1:30" x14ac:dyDescent="0.25">
      <c r="A47">
        <v>1.36326879999999E-2</v>
      </c>
      <c r="B47">
        <v>5.5333333333333297</v>
      </c>
      <c r="C47">
        <v>15.399999618530201</v>
      </c>
      <c r="D47">
        <v>3202</v>
      </c>
      <c r="E47">
        <v>25</v>
      </c>
      <c r="F47">
        <v>425</v>
      </c>
      <c r="G47" t="s">
        <v>25</v>
      </c>
      <c r="H47">
        <v>22</v>
      </c>
      <c r="I47">
        <v>232</v>
      </c>
      <c r="J47">
        <v>425</v>
      </c>
      <c r="K47">
        <v>61</v>
      </c>
      <c r="L47" t="s">
        <v>50</v>
      </c>
      <c r="M47">
        <v>2249</v>
      </c>
      <c r="N47">
        <v>4399</v>
      </c>
      <c r="O47">
        <v>2249</v>
      </c>
      <c r="P47">
        <v>29</v>
      </c>
      <c r="Q47">
        <v>13</v>
      </c>
      <c r="R47">
        <v>37.145096000000002</v>
      </c>
      <c r="S47" t="s">
        <v>28</v>
      </c>
      <c r="T47">
        <v>2.3311141000000001E-2</v>
      </c>
      <c r="U47">
        <v>3.694298E-2</v>
      </c>
      <c r="V47">
        <v>25</v>
      </c>
      <c r="W47">
        <v>175</v>
      </c>
      <c r="X47">
        <v>14</v>
      </c>
      <c r="Y47">
        <v>425</v>
      </c>
    </row>
    <row r="48" spans="1:30" x14ac:dyDescent="0.25">
      <c r="A48">
        <v>1.540016E-3</v>
      </c>
      <c r="B48">
        <v>1.61752136752136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57</v>
      </c>
      <c r="J48">
        <v>6</v>
      </c>
      <c r="K48">
        <v>7</v>
      </c>
      <c r="L48" t="s">
        <v>51</v>
      </c>
      <c r="M48">
        <v>251</v>
      </c>
      <c r="N48">
        <v>757</v>
      </c>
      <c r="O48">
        <v>251</v>
      </c>
      <c r="P48">
        <v>6</v>
      </c>
      <c r="Q48">
        <v>1</v>
      </c>
      <c r="R48">
        <v>1.768878</v>
      </c>
      <c r="S48" t="s">
        <v>27</v>
      </c>
      <c r="T48">
        <v>1.93974E-4</v>
      </c>
      <c r="U48">
        <v>1.7335269999999999E-3</v>
      </c>
      <c r="V48">
        <v>14</v>
      </c>
      <c r="W48">
        <v>16</v>
      </c>
      <c r="X48">
        <v>33</v>
      </c>
      <c r="Y48">
        <v>6</v>
      </c>
      <c r="AC48">
        <f>U48/U49</f>
        <v>0.92890840093066218</v>
      </c>
      <c r="AD48">
        <f t="shared" ref="AD48" si="21">I48-I49</f>
        <v>2</v>
      </c>
    </row>
    <row r="49" spans="1:30" x14ac:dyDescent="0.25">
      <c r="A49">
        <v>1.672052E-3</v>
      </c>
      <c r="B49">
        <v>1.62179487179487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55</v>
      </c>
      <c r="J49">
        <v>6</v>
      </c>
      <c r="K49">
        <v>6</v>
      </c>
      <c r="L49" t="s">
        <v>51</v>
      </c>
      <c r="M49">
        <v>213</v>
      </c>
      <c r="N49">
        <v>759</v>
      </c>
      <c r="O49">
        <v>213</v>
      </c>
      <c r="P49">
        <v>6</v>
      </c>
      <c r="Q49">
        <v>1</v>
      </c>
      <c r="R49">
        <v>1.9441109999999999</v>
      </c>
      <c r="S49" t="s">
        <v>28</v>
      </c>
      <c r="T49">
        <v>1.9468099999999999E-4</v>
      </c>
      <c r="U49">
        <v>1.8661979999999999E-3</v>
      </c>
      <c r="V49">
        <v>14</v>
      </c>
      <c r="W49">
        <v>14</v>
      </c>
      <c r="X49">
        <v>33</v>
      </c>
      <c r="Y49">
        <v>6</v>
      </c>
    </row>
    <row r="50" spans="1:30" s="2" customFormat="1" x14ac:dyDescent="0.25">
      <c r="A50" s="2">
        <v>3.3024790999999998E-2</v>
      </c>
      <c r="B50" s="2">
        <v>4.2043443282381299</v>
      </c>
      <c r="C50" s="2">
        <v>20.931034088134702</v>
      </c>
      <c r="D50" s="2">
        <v>5915</v>
      </c>
      <c r="E50" s="2">
        <v>33</v>
      </c>
      <c r="F50" s="2">
        <v>60</v>
      </c>
      <c r="G50" s="2" t="s">
        <v>25</v>
      </c>
      <c r="H50" s="2">
        <v>24</v>
      </c>
      <c r="I50" s="2">
        <v>227</v>
      </c>
      <c r="J50" s="2">
        <v>60</v>
      </c>
      <c r="K50" s="2">
        <v>17</v>
      </c>
      <c r="L50" s="2" t="s">
        <v>52</v>
      </c>
      <c r="M50" s="2">
        <v>3575</v>
      </c>
      <c r="N50" s="2">
        <v>5226</v>
      </c>
      <c r="O50" s="2">
        <v>3575</v>
      </c>
      <c r="P50" s="2">
        <v>25</v>
      </c>
      <c r="Q50" s="2">
        <v>1</v>
      </c>
      <c r="R50" s="2">
        <v>84.595977000000005</v>
      </c>
      <c r="S50" s="2" t="s">
        <v>27</v>
      </c>
      <c r="T50" s="2">
        <v>5.1331526000000002E-2</v>
      </c>
      <c r="U50" s="2">
        <v>8.4355837000000003E-2</v>
      </c>
      <c r="V50" s="2">
        <v>29</v>
      </c>
      <c r="W50" s="2">
        <v>109</v>
      </c>
      <c r="X50" s="2">
        <v>91</v>
      </c>
      <c r="Y50" s="2">
        <v>60</v>
      </c>
      <c r="AC50" s="2">
        <f>U50/U51</f>
        <v>0.69664839099396303</v>
      </c>
      <c r="AD50" s="2">
        <f t="shared" ref="AD50" si="22">I50-I51</f>
        <v>-30</v>
      </c>
    </row>
    <row r="51" spans="1:30" x14ac:dyDescent="0.25">
      <c r="A51">
        <v>3.8483007E-2</v>
      </c>
      <c r="B51">
        <v>4.6524537409493103</v>
      </c>
      <c r="C51">
        <v>20.931034088134702</v>
      </c>
      <c r="D51">
        <v>5915</v>
      </c>
      <c r="E51">
        <v>33</v>
      </c>
      <c r="F51">
        <v>60</v>
      </c>
      <c r="G51" t="s">
        <v>25</v>
      </c>
      <c r="H51">
        <v>24</v>
      </c>
      <c r="I51">
        <v>257</v>
      </c>
      <c r="J51">
        <v>60</v>
      </c>
      <c r="K51">
        <v>23</v>
      </c>
      <c r="L51" t="s">
        <v>52</v>
      </c>
      <c r="M51">
        <v>3484</v>
      </c>
      <c r="N51">
        <v>5783</v>
      </c>
      <c r="O51">
        <v>3484</v>
      </c>
      <c r="P51">
        <v>25</v>
      </c>
      <c r="Q51">
        <v>2</v>
      </c>
      <c r="R51">
        <v>121.400998</v>
      </c>
      <c r="S51" t="s">
        <v>28</v>
      </c>
      <c r="T51">
        <v>8.2605683999999999E-2</v>
      </c>
      <c r="U51">
        <v>0.12108811</v>
      </c>
      <c r="V51">
        <v>29</v>
      </c>
      <c r="W51">
        <v>103</v>
      </c>
      <c r="X51">
        <v>126</v>
      </c>
      <c r="Y51">
        <v>60</v>
      </c>
    </row>
    <row r="52" spans="1:30" x14ac:dyDescent="0.25">
      <c r="A52">
        <v>1.6256843E-2</v>
      </c>
      <c r="B52">
        <v>4.0769230769230704</v>
      </c>
      <c r="C52">
        <v>19</v>
      </c>
      <c r="D52">
        <v>3735</v>
      </c>
      <c r="E52">
        <v>33</v>
      </c>
      <c r="F52">
        <v>48</v>
      </c>
      <c r="G52" t="s">
        <v>25</v>
      </c>
      <c r="H52">
        <v>25</v>
      </c>
      <c r="I52">
        <v>204</v>
      </c>
      <c r="J52">
        <v>48</v>
      </c>
      <c r="K52">
        <v>17</v>
      </c>
      <c r="L52" t="s">
        <v>53</v>
      </c>
      <c r="M52">
        <v>2670</v>
      </c>
      <c r="N52">
        <v>3975</v>
      </c>
      <c r="O52">
        <v>2670</v>
      </c>
      <c r="P52">
        <v>48</v>
      </c>
      <c r="Q52">
        <v>1</v>
      </c>
      <c r="R52">
        <v>41.911833999999999</v>
      </c>
      <c r="S52" t="s">
        <v>27</v>
      </c>
      <c r="T52">
        <v>2.5419148999999999E-2</v>
      </c>
      <c r="U52">
        <v>4.1675469E-2</v>
      </c>
      <c r="V52">
        <v>25</v>
      </c>
      <c r="W52">
        <v>80</v>
      </c>
      <c r="X52">
        <v>74</v>
      </c>
      <c r="Y52">
        <v>48</v>
      </c>
      <c r="AC52">
        <f>U52/U53</f>
        <v>0.57441809723992965</v>
      </c>
      <c r="AD52">
        <f t="shared" ref="AD52" si="23">I52-I53</f>
        <v>-57</v>
      </c>
    </row>
    <row r="53" spans="1:30" x14ac:dyDescent="0.25">
      <c r="A53">
        <v>2.5584303999999902E-2</v>
      </c>
      <c r="B53">
        <v>4.86666666666666</v>
      </c>
      <c r="C53">
        <v>19</v>
      </c>
      <c r="D53">
        <v>3735</v>
      </c>
      <c r="E53">
        <v>33</v>
      </c>
      <c r="F53">
        <v>48</v>
      </c>
      <c r="G53" t="s">
        <v>25</v>
      </c>
      <c r="H53">
        <v>25</v>
      </c>
      <c r="I53">
        <v>261</v>
      </c>
      <c r="J53">
        <v>48</v>
      </c>
      <c r="K53">
        <v>24</v>
      </c>
      <c r="L53" t="s">
        <v>53</v>
      </c>
      <c r="M53">
        <v>2870</v>
      </c>
      <c r="N53">
        <v>4745</v>
      </c>
      <c r="O53">
        <v>2870</v>
      </c>
      <c r="P53">
        <v>48</v>
      </c>
      <c r="Q53">
        <v>1</v>
      </c>
      <c r="R53">
        <v>72.802469000000002</v>
      </c>
      <c r="S53" t="s">
        <v>28</v>
      </c>
      <c r="T53">
        <v>4.6968712000000003E-2</v>
      </c>
      <c r="U53">
        <v>7.2552500000000006E-2</v>
      </c>
      <c r="V53">
        <v>25</v>
      </c>
      <c r="W53">
        <v>95</v>
      </c>
      <c r="X53">
        <v>116</v>
      </c>
      <c r="Y53">
        <v>48</v>
      </c>
    </row>
    <row r="54" spans="1:30" x14ac:dyDescent="0.25">
      <c r="A54">
        <v>1.5547761E-2</v>
      </c>
      <c r="B54">
        <v>3.9576502732240399</v>
      </c>
      <c r="C54">
        <v>22.375</v>
      </c>
      <c r="D54">
        <v>2061</v>
      </c>
      <c r="E54">
        <v>33</v>
      </c>
      <c r="F54">
        <v>18</v>
      </c>
      <c r="G54" t="s">
        <v>25</v>
      </c>
      <c r="H54">
        <v>26</v>
      </c>
      <c r="I54">
        <v>213</v>
      </c>
      <c r="J54">
        <v>18</v>
      </c>
      <c r="K54">
        <v>15</v>
      </c>
      <c r="L54" t="s">
        <v>54</v>
      </c>
      <c r="M54">
        <v>1973</v>
      </c>
      <c r="N54">
        <v>2897</v>
      </c>
      <c r="O54">
        <v>1973</v>
      </c>
      <c r="P54">
        <v>18</v>
      </c>
      <c r="Q54">
        <v>1</v>
      </c>
      <c r="R54">
        <v>26.036235999999999</v>
      </c>
      <c r="S54" t="s">
        <v>27</v>
      </c>
      <c r="T54">
        <v>1.0354477000000001E-2</v>
      </c>
      <c r="U54">
        <v>2.5901672000000001E-2</v>
      </c>
      <c r="V54">
        <v>16</v>
      </c>
      <c r="W54">
        <v>71</v>
      </c>
      <c r="X54">
        <v>122</v>
      </c>
      <c r="Y54">
        <v>18</v>
      </c>
      <c r="AC54">
        <f>U54/U55</f>
        <v>0.85310587068573263</v>
      </c>
      <c r="AD54">
        <f t="shared" ref="AD54" si="24">I54-I55</f>
        <v>20</v>
      </c>
    </row>
    <row r="55" spans="1:30" x14ac:dyDescent="0.25">
      <c r="A55">
        <v>1.5001258E-2</v>
      </c>
      <c r="B55">
        <v>4.25683060109289</v>
      </c>
      <c r="C55">
        <v>22.375</v>
      </c>
      <c r="D55">
        <v>2061</v>
      </c>
      <c r="E55">
        <v>33</v>
      </c>
      <c r="F55">
        <v>18</v>
      </c>
      <c r="G55" t="s">
        <v>25</v>
      </c>
      <c r="H55">
        <v>26</v>
      </c>
      <c r="I55">
        <v>193</v>
      </c>
      <c r="J55">
        <v>18</v>
      </c>
      <c r="K55">
        <v>16</v>
      </c>
      <c r="L55" t="s">
        <v>54</v>
      </c>
      <c r="M55">
        <v>1893</v>
      </c>
      <c r="N55">
        <v>3116</v>
      </c>
      <c r="O55">
        <v>1893</v>
      </c>
      <c r="P55">
        <v>18</v>
      </c>
      <c r="Q55">
        <v>1</v>
      </c>
      <c r="R55">
        <v>30.558492000000001</v>
      </c>
      <c r="S55" t="s">
        <v>28</v>
      </c>
      <c r="T55">
        <v>1.5360854E-2</v>
      </c>
      <c r="U55">
        <v>3.0361615000000002E-2</v>
      </c>
      <c r="V55">
        <v>16</v>
      </c>
      <c r="W55">
        <v>64</v>
      </c>
      <c r="X55">
        <v>111</v>
      </c>
      <c r="Y55">
        <v>18</v>
      </c>
    </row>
    <row r="56" spans="1:30" x14ac:dyDescent="0.25">
      <c r="A56">
        <v>6.0538520000000002E-3</v>
      </c>
      <c r="B56">
        <v>2.8568840579710102</v>
      </c>
      <c r="C56">
        <v>19.214284896850501</v>
      </c>
      <c r="D56">
        <v>1175</v>
      </c>
      <c r="E56">
        <v>33</v>
      </c>
      <c r="F56">
        <v>18</v>
      </c>
      <c r="G56" t="s">
        <v>25</v>
      </c>
      <c r="H56">
        <v>27</v>
      </c>
      <c r="I56">
        <v>156</v>
      </c>
      <c r="J56">
        <v>18</v>
      </c>
      <c r="K56">
        <v>14</v>
      </c>
      <c r="L56" t="s">
        <v>55</v>
      </c>
      <c r="M56">
        <v>927</v>
      </c>
      <c r="N56">
        <v>1577</v>
      </c>
      <c r="O56">
        <v>927</v>
      </c>
      <c r="P56">
        <v>18</v>
      </c>
      <c r="Q56">
        <v>1</v>
      </c>
      <c r="R56">
        <v>8.9580409999999997</v>
      </c>
      <c r="S56" t="s">
        <v>27</v>
      </c>
      <c r="T56">
        <v>2.8562790000000002E-3</v>
      </c>
      <c r="U56">
        <v>8.9096360000000003E-3</v>
      </c>
      <c r="V56">
        <v>14</v>
      </c>
      <c r="W56">
        <v>35</v>
      </c>
      <c r="X56">
        <v>103</v>
      </c>
      <c r="Y56">
        <v>18</v>
      </c>
      <c r="AC56">
        <f>U56/U57</f>
        <v>0.93245505246974625</v>
      </c>
      <c r="AD56">
        <f t="shared" ref="AD56" si="25">I56-I57</f>
        <v>8</v>
      </c>
    </row>
    <row r="57" spans="1:30" x14ac:dyDescent="0.25">
      <c r="A57">
        <v>7.114057E-3</v>
      </c>
      <c r="B57">
        <v>2.9583333333333299</v>
      </c>
      <c r="C57">
        <v>19.214284896850501</v>
      </c>
      <c r="D57">
        <v>1175</v>
      </c>
      <c r="E57">
        <v>33</v>
      </c>
      <c r="F57">
        <v>18</v>
      </c>
      <c r="G57" t="s">
        <v>25</v>
      </c>
      <c r="H57">
        <v>27</v>
      </c>
      <c r="I57">
        <v>148</v>
      </c>
      <c r="J57">
        <v>18</v>
      </c>
      <c r="K57">
        <v>13</v>
      </c>
      <c r="L57" t="s">
        <v>55</v>
      </c>
      <c r="M57">
        <v>874</v>
      </c>
      <c r="N57">
        <v>1633</v>
      </c>
      <c r="O57">
        <v>874</v>
      </c>
      <c r="P57">
        <v>18</v>
      </c>
      <c r="Q57">
        <v>1</v>
      </c>
      <c r="R57">
        <v>9.6626759999999994</v>
      </c>
      <c r="S57" t="s">
        <v>28</v>
      </c>
      <c r="T57">
        <v>2.4414749999999998E-3</v>
      </c>
      <c r="U57">
        <v>9.5550300000000008E-3</v>
      </c>
      <c r="V57">
        <v>14</v>
      </c>
      <c r="W57">
        <v>32</v>
      </c>
      <c r="X57">
        <v>98</v>
      </c>
      <c r="Y57">
        <v>18</v>
      </c>
    </row>
    <row r="58" spans="1:30" x14ac:dyDescent="0.25">
      <c r="A58">
        <v>3.5889989999999998E-3</v>
      </c>
      <c r="B58">
        <v>2.4725738396624402</v>
      </c>
      <c r="C58">
        <v>19.25</v>
      </c>
      <c r="D58">
        <v>876</v>
      </c>
      <c r="E58">
        <v>33</v>
      </c>
      <c r="F58">
        <v>19</v>
      </c>
      <c r="G58" t="s">
        <v>25</v>
      </c>
      <c r="H58">
        <v>28</v>
      </c>
      <c r="I58">
        <v>95</v>
      </c>
      <c r="J58">
        <v>19</v>
      </c>
      <c r="K58">
        <v>11</v>
      </c>
      <c r="L58" t="s">
        <v>56</v>
      </c>
      <c r="M58">
        <v>635</v>
      </c>
      <c r="N58">
        <v>1172</v>
      </c>
      <c r="O58">
        <v>635</v>
      </c>
      <c r="P58">
        <v>19</v>
      </c>
      <c r="Q58">
        <v>1</v>
      </c>
      <c r="R58">
        <v>4.9150600000000004</v>
      </c>
      <c r="S58" t="s">
        <v>27</v>
      </c>
      <c r="T58">
        <v>1.2891129999999999E-3</v>
      </c>
      <c r="U58">
        <v>4.8775750000000003E-3</v>
      </c>
      <c r="V58">
        <v>12</v>
      </c>
      <c r="W58">
        <v>28</v>
      </c>
      <c r="X58">
        <v>46</v>
      </c>
      <c r="Y58">
        <v>19</v>
      </c>
      <c r="AC58">
        <f>U58/U59</f>
        <v>0.63510239997958329</v>
      </c>
      <c r="AD58">
        <f t="shared" ref="AD58" si="26">I58-I59</f>
        <v>-42</v>
      </c>
    </row>
    <row r="59" spans="1:30" x14ac:dyDescent="0.25">
      <c r="A59">
        <v>4.97959399999999E-3</v>
      </c>
      <c r="B59">
        <v>3.1413502109704599</v>
      </c>
      <c r="C59">
        <v>19.25</v>
      </c>
      <c r="D59">
        <v>876</v>
      </c>
      <c r="E59">
        <v>33</v>
      </c>
      <c r="F59">
        <v>19</v>
      </c>
      <c r="G59" t="s">
        <v>25</v>
      </c>
      <c r="H59">
        <v>28</v>
      </c>
      <c r="I59">
        <v>137</v>
      </c>
      <c r="J59">
        <v>19</v>
      </c>
      <c r="K59">
        <v>17</v>
      </c>
      <c r="L59" t="s">
        <v>56</v>
      </c>
      <c r="M59">
        <v>836</v>
      </c>
      <c r="N59">
        <v>1489</v>
      </c>
      <c r="O59">
        <v>836</v>
      </c>
      <c r="P59">
        <v>19</v>
      </c>
      <c r="Q59">
        <v>1</v>
      </c>
      <c r="R59">
        <v>7.7338550000000001</v>
      </c>
      <c r="S59" t="s">
        <v>28</v>
      </c>
      <c r="T59">
        <v>2.7008980000000002E-3</v>
      </c>
      <c r="U59">
        <v>7.6799820000000001E-3</v>
      </c>
      <c r="V59">
        <v>12</v>
      </c>
      <c r="W59">
        <v>33</v>
      </c>
      <c r="X59">
        <v>83</v>
      </c>
      <c r="Y59">
        <v>19</v>
      </c>
    </row>
    <row r="60" spans="1:30" x14ac:dyDescent="0.25">
      <c r="A60">
        <v>2.3643570000000001E-3</v>
      </c>
      <c r="B60">
        <v>1.9934640522875799</v>
      </c>
      <c r="C60">
        <v>18.625</v>
      </c>
      <c r="D60">
        <v>307</v>
      </c>
      <c r="E60">
        <v>33</v>
      </c>
      <c r="F60">
        <v>11</v>
      </c>
      <c r="G60" t="s">
        <v>25</v>
      </c>
      <c r="H60">
        <v>29</v>
      </c>
      <c r="I60">
        <v>92</v>
      </c>
      <c r="J60">
        <v>11</v>
      </c>
      <c r="K60">
        <v>9</v>
      </c>
      <c r="L60" t="s">
        <v>57</v>
      </c>
      <c r="M60">
        <v>281</v>
      </c>
      <c r="N60">
        <v>610</v>
      </c>
      <c r="O60">
        <v>281</v>
      </c>
      <c r="P60">
        <v>11</v>
      </c>
      <c r="Q60">
        <v>1</v>
      </c>
      <c r="R60">
        <v>2.868109</v>
      </c>
      <c r="S60" t="s">
        <v>27</v>
      </c>
      <c r="T60">
        <v>4.7641200000000001E-4</v>
      </c>
      <c r="U60">
        <v>2.8402570000000001E-3</v>
      </c>
      <c r="V60">
        <v>8</v>
      </c>
      <c r="W60">
        <v>9</v>
      </c>
      <c r="X60">
        <v>70</v>
      </c>
      <c r="Y60">
        <v>11</v>
      </c>
      <c r="AC60">
        <f>U60/U61</f>
        <v>0.8678502788175082</v>
      </c>
      <c r="AD60">
        <f t="shared" ref="AD60" si="27">I60-I61</f>
        <v>0</v>
      </c>
    </row>
    <row r="61" spans="1:30" x14ac:dyDescent="0.25">
      <c r="A61">
        <v>2.7466539999999998E-3</v>
      </c>
      <c r="B61">
        <v>2.2483660130718901</v>
      </c>
      <c r="C61">
        <v>18.625</v>
      </c>
      <c r="D61">
        <v>307</v>
      </c>
      <c r="E61">
        <v>33</v>
      </c>
      <c r="F61">
        <v>11</v>
      </c>
      <c r="G61" t="s">
        <v>25</v>
      </c>
      <c r="H61">
        <v>29</v>
      </c>
      <c r="I61">
        <v>92</v>
      </c>
      <c r="J61">
        <v>11</v>
      </c>
      <c r="K61">
        <v>9</v>
      </c>
      <c r="L61" t="s">
        <v>57</v>
      </c>
      <c r="M61">
        <v>320</v>
      </c>
      <c r="N61">
        <v>688</v>
      </c>
      <c r="O61">
        <v>320</v>
      </c>
      <c r="P61">
        <v>11</v>
      </c>
      <c r="Q61">
        <v>1</v>
      </c>
      <c r="R61">
        <v>3.321777</v>
      </c>
      <c r="S61" t="s">
        <v>28</v>
      </c>
      <c r="T61">
        <v>5.2655300000000003E-4</v>
      </c>
      <c r="U61">
        <v>3.2727500000000001E-3</v>
      </c>
      <c r="V61">
        <v>8</v>
      </c>
      <c r="W61">
        <v>10</v>
      </c>
      <c r="X61">
        <v>69</v>
      </c>
      <c r="Y61">
        <v>11</v>
      </c>
    </row>
    <row r="62" spans="1:30" x14ac:dyDescent="0.25">
      <c r="A62">
        <v>1.8140959999999901E-3</v>
      </c>
      <c r="B62">
        <v>2.2904761904761899</v>
      </c>
      <c r="C62">
        <v>12.625</v>
      </c>
      <c r="D62">
        <v>126</v>
      </c>
      <c r="E62">
        <v>33</v>
      </c>
      <c r="F62">
        <v>10</v>
      </c>
      <c r="G62" t="s">
        <v>25</v>
      </c>
      <c r="H62">
        <v>30</v>
      </c>
      <c r="I62">
        <v>80</v>
      </c>
      <c r="J62">
        <v>10</v>
      </c>
      <c r="K62">
        <v>6</v>
      </c>
      <c r="L62" t="s">
        <v>58</v>
      </c>
      <c r="M62">
        <v>251</v>
      </c>
      <c r="N62">
        <v>481</v>
      </c>
      <c r="O62">
        <v>251</v>
      </c>
      <c r="P62">
        <v>10</v>
      </c>
      <c r="Q62">
        <v>1</v>
      </c>
      <c r="R62">
        <v>2.2046559999999999</v>
      </c>
      <c r="S62" t="s">
        <v>27</v>
      </c>
      <c r="T62">
        <v>3.68771E-4</v>
      </c>
      <c r="U62">
        <v>2.1824850000000001E-3</v>
      </c>
      <c r="V62">
        <v>8</v>
      </c>
      <c r="W62">
        <v>7</v>
      </c>
      <c r="X62">
        <v>61</v>
      </c>
      <c r="Y62">
        <v>10</v>
      </c>
      <c r="AC62">
        <f>U62/U63</f>
        <v>1.1289021099364243</v>
      </c>
      <c r="AD62">
        <f t="shared" ref="AD62" si="28">I62-I63</f>
        <v>17</v>
      </c>
    </row>
    <row r="63" spans="1:30" x14ac:dyDescent="0.25">
      <c r="A63">
        <v>1.6373939999999999E-3</v>
      </c>
      <c r="B63">
        <v>2.1714285714285699</v>
      </c>
      <c r="C63">
        <v>12.625</v>
      </c>
      <c r="D63">
        <v>126</v>
      </c>
      <c r="E63">
        <v>33</v>
      </c>
      <c r="F63">
        <v>10</v>
      </c>
      <c r="G63" t="s">
        <v>25</v>
      </c>
      <c r="H63">
        <v>30</v>
      </c>
      <c r="I63">
        <v>63</v>
      </c>
      <c r="J63">
        <v>10</v>
      </c>
      <c r="K63">
        <v>6</v>
      </c>
      <c r="L63" t="s">
        <v>58</v>
      </c>
      <c r="M63">
        <v>199</v>
      </c>
      <c r="N63">
        <v>456</v>
      </c>
      <c r="O63">
        <v>199</v>
      </c>
      <c r="P63">
        <v>10</v>
      </c>
      <c r="Q63">
        <v>1</v>
      </c>
      <c r="R63">
        <v>1.976602</v>
      </c>
      <c r="S63" t="s">
        <v>28</v>
      </c>
      <c r="T63">
        <v>2.9644200000000001E-4</v>
      </c>
      <c r="U63">
        <v>1.933281E-3</v>
      </c>
      <c r="V63">
        <v>8</v>
      </c>
      <c r="W63">
        <v>6</v>
      </c>
      <c r="X63">
        <v>45</v>
      </c>
      <c r="Y63">
        <v>10</v>
      </c>
    </row>
    <row r="64" spans="1:30" x14ac:dyDescent="0.25">
      <c r="A64">
        <v>9.79984149999992E-2</v>
      </c>
      <c r="B64">
        <v>17.785649409627599</v>
      </c>
      <c r="C64">
        <v>19.888889312744102</v>
      </c>
      <c r="D64">
        <v>4862</v>
      </c>
      <c r="E64">
        <v>33</v>
      </c>
      <c r="F64">
        <v>146</v>
      </c>
      <c r="G64" t="s">
        <v>25</v>
      </c>
      <c r="H64">
        <v>31</v>
      </c>
      <c r="I64">
        <v>391</v>
      </c>
      <c r="J64">
        <v>146</v>
      </c>
      <c r="K64">
        <v>97</v>
      </c>
      <c r="L64" t="s">
        <v>59</v>
      </c>
      <c r="M64">
        <v>15926</v>
      </c>
      <c r="N64">
        <v>19582</v>
      </c>
      <c r="O64">
        <v>15926</v>
      </c>
      <c r="P64">
        <v>73</v>
      </c>
      <c r="Q64">
        <v>1</v>
      </c>
      <c r="R64">
        <v>10404.83237</v>
      </c>
      <c r="S64" t="s">
        <v>27</v>
      </c>
      <c r="T64">
        <v>10.305954135</v>
      </c>
      <c r="U64">
        <v>10.403951687999999</v>
      </c>
      <c r="V64">
        <v>27</v>
      </c>
      <c r="W64">
        <v>291</v>
      </c>
      <c r="X64">
        <v>25</v>
      </c>
      <c r="Y64">
        <v>146</v>
      </c>
      <c r="AC64">
        <f>U64/U65</f>
        <v>0.87070582652191253</v>
      </c>
      <c r="AD64">
        <f t="shared" ref="AD64" si="29">I64-I65</f>
        <v>58</v>
      </c>
    </row>
    <row r="65" spans="1:30" x14ac:dyDescent="0.25">
      <c r="A65">
        <v>8.7104088000000204E-2</v>
      </c>
      <c r="B65">
        <v>22.496821071752901</v>
      </c>
      <c r="C65">
        <v>19.888889312744102</v>
      </c>
      <c r="D65">
        <v>4862</v>
      </c>
      <c r="E65">
        <v>33</v>
      </c>
      <c r="F65">
        <v>146</v>
      </c>
      <c r="G65" t="s">
        <v>25</v>
      </c>
      <c r="H65">
        <v>31</v>
      </c>
      <c r="I65">
        <v>333</v>
      </c>
      <c r="J65">
        <v>146</v>
      </c>
      <c r="K65">
        <v>117</v>
      </c>
      <c r="L65" t="s">
        <v>59</v>
      </c>
      <c r="M65">
        <v>15071</v>
      </c>
      <c r="N65">
        <v>24769</v>
      </c>
      <c r="O65">
        <v>15071</v>
      </c>
      <c r="P65">
        <v>73</v>
      </c>
      <c r="Q65">
        <v>1</v>
      </c>
      <c r="R65">
        <v>11950.27585</v>
      </c>
      <c r="S65" t="s">
        <v>28</v>
      </c>
      <c r="T65">
        <v>11.861767567999999</v>
      </c>
      <c r="U65">
        <v>11.948871101</v>
      </c>
      <c r="V65">
        <v>27</v>
      </c>
      <c r="W65">
        <v>250</v>
      </c>
      <c r="X65">
        <v>8</v>
      </c>
      <c r="Y65">
        <v>146</v>
      </c>
    </row>
    <row r="66" spans="1:30" x14ac:dyDescent="0.25">
      <c r="A66">
        <v>2.2792894000000001E-2</v>
      </c>
      <c r="B66">
        <v>4.6240875912408699</v>
      </c>
      <c r="C66">
        <v>20.049999237060501</v>
      </c>
      <c r="D66">
        <v>2616</v>
      </c>
      <c r="E66">
        <v>33</v>
      </c>
      <c r="F66">
        <v>43</v>
      </c>
      <c r="G66" t="s">
        <v>25</v>
      </c>
      <c r="H66">
        <v>32</v>
      </c>
      <c r="I66">
        <v>308</v>
      </c>
      <c r="J66">
        <v>43</v>
      </c>
      <c r="K66">
        <v>18</v>
      </c>
      <c r="L66" t="s">
        <v>60</v>
      </c>
      <c r="M66">
        <v>2651</v>
      </c>
      <c r="N66">
        <v>3801</v>
      </c>
      <c r="O66">
        <v>2651</v>
      </c>
      <c r="P66">
        <v>43</v>
      </c>
      <c r="Q66">
        <v>2</v>
      </c>
      <c r="R66">
        <v>48.621371000000003</v>
      </c>
      <c r="S66" t="s">
        <v>27</v>
      </c>
      <c r="T66">
        <v>2.5614809999999998E-2</v>
      </c>
      <c r="U66">
        <v>4.8407095999999997E-2</v>
      </c>
      <c r="V66">
        <v>20</v>
      </c>
      <c r="W66">
        <v>119</v>
      </c>
      <c r="X66">
        <v>143</v>
      </c>
      <c r="Y66">
        <v>43</v>
      </c>
      <c r="AC66">
        <f>U66/U67</f>
        <v>1.4067576426453836</v>
      </c>
      <c r="AD66">
        <f t="shared" ref="AD66" si="30">I66-I67</f>
        <v>99</v>
      </c>
    </row>
    <row r="67" spans="1:30" x14ac:dyDescent="0.25">
      <c r="A67">
        <v>1.7436065000000001E-2</v>
      </c>
      <c r="B67">
        <v>4.9732360097323598</v>
      </c>
      <c r="C67">
        <v>20.049999237060501</v>
      </c>
      <c r="D67">
        <v>2616</v>
      </c>
      <c r="E67">
        <v>33</v>
      </c>
      <c r="F67">
        <v>43</v>
      </c>
      <c r="G67" t="s">
        <v>25</v>
      </c>
      <c r="H67">
        <v>32</v>
      </c>
      <c r="I67">
        <v>209</v>
      </c>
      <c r="J67">
        <v>43</v>
      </c>
      <c r="K67">
        <v>18</v>
      </c>
      <c r="L67" t="s">
        <v>60</v>
      </c>
      <c r="M67">
        <v>2476</v>
      </c>
      <c r="N67">
        <v>4088</v>
      </c>
      <c r="O67">
        <v>2476</v>
      </c>
      <c r="P67">
        <v>43</v>
      </c>
      <c r="Q67">
        <v>1</v>
      </c>
      <c r="R67">
        <v>34.585165000000003</v>
      </c>
      <c r="S67" t="s">
        <v>28</v>
      </c>
      <c r="T67">
        <v>1.6974837E-2</v>
      </c>
      <c r="U67">
        <v>3.4410402E-2</v>
      </c>
      <c r="V67">
        <v>20</v>
      </c>
      <c r="W67">
        <v>100</v>
      </c>
      <c r="X67">
        <v>64</v>
      </c>
      <c r="Y67">
        <v>43</v>
      </c>
    </row>
    <row r="68" spans="1:30" x14ac:dyDescent="0.25">
      <c r="A68">
        <v>4.7781150000000003E-3</v>
      </c>
      <c r="B68">
        <v>3</v>
      </c>
      <c r="C68">
        <v>18.176469802856399</v>
      </c>
      <c r="D68">
        <v>1632</v>
      </c>
      <c r="E68">
        <v>33</v>
      </c>
      <c r="F68">
        <v>33</v>
      </c>
      <c r="G68" t="s">
        <v>25</v>
      </c>
      <c r="H68">
        <v>33</v>
      </c>
      <c r="I68">
        <v>111</v>
      </c>
      <c r="J68">
        <v>33</v>
      </c>
      <c r="K68">
        <v>17</v>
      </c>
      <c r="L68" t="s">
        <v>61</v>
      </c>
      <c r="M68">
        <v>1144</v>
      </c>
      <c r="N68">
        <v>1905</v>
      </c>
      <c r="O68">
        <v>1144</v>
      </c>
      <c r="P68">
        <v>19</v>
      </c>
      <c r="Q68">
        <v>1</v>
      </c>
      <c r="R68">
        <v>6.8879339999999996</v>
      </c>
      <c r="S68" t="s">
        <v>27</v>
      </c>
      <c r="T68">
        <v>2.04981E-3</v>
      </c>
      <c r="U68">
        <v>6.8274060000000003E-3</v>
      </c>
      <c r="V68">
        <v>17</v>
      </c>
      <c r="W68">
        <v>53</v>
      </c>
      <c r="X68">
        <v>37</v>
      </c>
      <c r="Y68">
        <v>33</v>
      </c>
      <c r="AC68">
        <f>U68/U69</f>
        <v>0.79325627032547485</v>
      </c>
      <c r="AD68">
        <f t="shared" ref="AD68" si="31">I68-I69</f>
        <v>1</v>
      </c>
    </row>
    <row r="69" spans="1:30" x14ac:dyDescent="0.25">
      <c r="A69">
        <v>5.8761389999999903E-3</v>
      </c>
      <c r="B69">
        <v>3.2251968503936999</v>
      </c>
      <c r="C69">
        <v>18.176469802856399</v>
      </c>
      <c r="D69">
        <v>1632</v>
      </c>
      <c r="E69">
        <v>33</v>
      </c>
      <c r="F69">
        <v>33</v>
      </c>
      <c r="G69" t="s">
        <v>25</v>
      </c>
      <c r="H69">
        <v>33</v>
      </c>
      <c r="I69">
        <v>110</v>
      </c>
      <c r="J69">
        <v>33</v>
      </c>
      <c r="K69">
        <v>18</v>
      </c>
      <c r="L69" t="s">
        <v>61</v>
      </c>
      <c r="M69">
        <v>1047</v>
      </c>
      <c r="N69">
        <v>2048</v>
      </c>
      <c r="O69">
        <v>1047</v>
      </c>
      <c r="P69">
        <v>19</v>
      </c>
      <c r="Q69">
        <v>2</v>
      </c>
      <c r="R69">
        <v>8.7076069999999994</v>
      </c>
      <c r="S69" t="s">
        <v>28</v>
      </c>
      <c r="T69">
        <v>2.7311750000000002E-3</v>
      </c>
      <c r="U69">
        <v>8.6068099999999995E-3</v>
      </c>
      <c r="V69">
        <v>17</v>
      </c>
      <c r="W69">
        <v>51</v>
      </c>
      <c r="X69">
        <v>37</v>
      </c>
      <c r="Y69">
        <v>33</v>
      </c>
    </row>
    <row r="70" spans="1:30" x14ac:dyDescent="0.25">
      <c r="A70">
        <v>0.131606787999999</v>
      </c>
      <c r="B70">
        <v>28.3525061626951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433</v>
      </c>
      <c r="J70">
        <v>102</v>
      </c>
      <c r="K70">
        <v>252</v>
      </c>
      <c r="L70" t="s">
        <v>62</v>
      </c>
      <c r="M70">
        <v>28092</v>
      </c>
      <c r="N70">
        <v>34505</v>
      </c>
      <c r="O70">
        <v>28092</v>
      </c>
      <c r="P70">
        <v>102</v>
      </c>
      <c r="Q70">
        <v>1</v>
      </c>
      <c r="R70">
        <v>600000</v>
      </c>
      <c r="S70" t="s">
        <v>27</v>
      </c>
      <c r="T70">
        <v>603.16485905000002</v>
      </c>
      <c r="U70">
        <v>603.29646517100002</v>
      </c>
      <c r="V70">
        <v>29</v>
      </c>
      <c r="W70">
        <v>329</v>
      </c>
      <c r="X70">
        <v>0</v>
      </c>
      <c r="Y70">
        <v>128</v>
      </c>
      <c r="AC70">
        <f>U70/U71</f>
        <v>0.96226921671495647</v>
      </c>
      <c r="AD70">
        <f t="shared" ref="AD70" si="32">I70-I71</f>
        <v>27</v>
      </c>
    </row>
    <row r="71" spans="1:30" x14ac:dyDescent="0.25">
      <c r="A71">
        <v>0.13358689500000701</v>
      </c>
      <c r="B71">
        <v>36.526705012325301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406</v>
      </c>
      <c r="J71">
        <v>102</v>
      </c>
      <c r="K71">
        <v>277</v>
      </c>
      <c r="L71" t="s">
        <v>62</v>
      </c>
      <c r="M71">
        <v>25012</v>
      </c>
      <c r="N71">
        <v>44453</v>
      </c>
      <c r="O71">
        <v>25012</v>
      </c>
      <c r="P71">
        <v>102</v>
      </c>
      <c r="Q71">
        <v>1</v>
      </c>
      <c r="R71">
        <v>600000</v>
      </c>
      <c r="S71" t="s">
        <v>28</v>
      </c>
      <c r="T71">
        <v>626.81826333100003</v>
      </c>
      <c r="U71">
        <v>626.95184953600005</v>
      </c>
      <c r="V71">
        <v>29</v>
      </c>
      <c r="W71">
        <v>303</v>
      </c>
      <c r="X71">
        <v>0</v>
      </c>
      <c r="Y71">
        <v>127</v>
      </c>
    </row>
    <row r="72" spans="1:30" x14ac:dyDescent="0.25">
      <c r="A72">
        <v>0.106320393000032</v>
      </c>
      <c r="B72">
        <v>24.643086816720199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369</v>
      </c>
      <c r="J72">
        <v>107</v>
      </c>
      <c r="K72">
        <v>224</v>
      </c>
      <c r="L72" t="s">
        <v>63</v>
      </c>
      <c r="M72">
        <v>24838</v>
      </c>
      <c r="N72">
        <v>30656</v>
      </c>
      <c r="O72">
        <v>24838</v>
      </c>
      <c r="P72">
        <v>107</v>
      </c>
      <c r="Q72">
        <v>1</v>
      </c>
      <c r="R72">
        <v>600000</v>
      </c>
      <c r="S72" t="s">
        <v>27</v>
      </c>
      <c r="T72">
        <v>617.91787198999998</v>
      </c>
      <c r="U72">
        <v>618.02419179499998</v>
      </c>
      <c r="V72">
        <v>28</v>
      </c>
      <c r="W72">
        <v>260</v>
      </c>
      <c r="X72">
        <v>0</v>
      </c>
      <c r="Y72">
        <v>132</v>
      </c>
      <c r="AC72">
        <f>U72/U73</f>
        <v>0.98450031205150179</v>
      </c>
      <c r="AD72">
        <f t="shared" ref="AD72" si="33">I72-I73</f>
        <v>35</v>
      </c>
    </row>
    <row r="73" spans="1:30" x14ac:dyDescent="0.25">
      <c r="A73">
        <v>0.107199409000031</v>
      </c>
      <c r="B73">
        <v>30.931672025723401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334</v>
      </c>
      <c r="J73">
        <v>105</v>
      </c>
      <c r="K73">
        <v>256</v>
      </c>
      <c r="L73" t="s">
        <v>63</v>
      </c>
      <c r="M73">
        <v>21630</v>
      </c>
      <c r="N73">
        <v>38479</v>
      </c>
      <c r="O73">
        <v>21630</v>
      </c>
      <c r="P73">
        <v>105</v>
      </c>
      <c r="Q73">
        <v>1</v>
      </c>
      <c r="R73">
        <v>600000</v>
      </c>
      <c r="S73" t="s">
        <v>28</v>
      </c>
      <c r="T73">
        <v>627.64698700099996</v>
      </c>
      <c r="U73">
        <v>627.75418578300003</v>
      </c>
      <c r="V73">
        <v>28</v>
      </c>
      <c r="W73">
        <v>227</v>
      </c>
      <c r="X73">
        <v>0</v>
      </c>
      <c r="Y73">
        <v>129</v>
      </c>
    </row>
    <row r="74" spans="1:30" x14ac:dyDescent="0.25">
      <c r="A74">
        <v>7.1265310000000002E-3</v>
      </c>
      <c r="B74">
        <v>2.95327102803738</v>
      </c>
      <c r="C74">
        <v>17.3333339691162</v>
      </c>
      <c r="D74">
        <v>2022</v>
      </c>
      <c r="E74">
        <v>25</v>
      </c>
      <c r="F74">
        <v>14</v>
      </c>
      <c r="G74" t="s">
        <v>25</v>
      </c>
      <c r="H74">
        <v>36</v>
      </c>
      <c r="I74">
        <v>118</v>
      </c>
      <c r="J74">
        <v>14</v>
      </c>
      <c r="K74">
        <v>14</v>
      </c>
      <c r="L74" t="s">
        <v>64</v>
      </c>
      <c r="M74">
        <v>1135</v>
      </c>
      <c r="N74">
        <v>1896</v>
      </c>
      <c r="O74">
        <v>1135</v>
      </c>
      <c r="P74">
        <v>14</v>
      </c>
      <c r="Q74">
        <v>1</v>
      </c>
      <c r="R74">
        <v>11.220592999999999</v>
      </c>
      <c r="S74" t="s">
        <v>27</v>
      </c>
      <c r="T74">
        <v>4.0175130000000003E-3</v>
      </c>
      <c r="U74">
        <v>1.1143419E-2</v>
      </c>
      <c r="V74">
        <v>18</v>
      </c>
      <c r="W74">
        <v>45</v>
      </c>
      <c r="X74">
        <v>57</v>
      </c>
      <c r="Y74">
        <v>14</v>
      </c>
      <c r="AC74">
        <f>U74/U75</f>
        <v>1.1285004046265663</v>
      </c>
      <c r="AD74">
        <f t="shared" ref="AD74" si="34">I74-I75</f>
        <v>9</v>
      </c>
    </row>
    <row r="75" spans="1:30" x14ac:dyDescent="0.25">
      <c r="A75">
        <v>5.880789E-3</v>
      </c>
      <c r="B75">
        <v>3.60747663551401</v>
      </c>
      <c r="C75">
        <v>17.3333339691162</v>
      </c>
      <c r="D75">
        <v>2022</v>
      </c>
      <c r="E75">
        <v>25</v>
      </c>
      <c r="F75">
        <v>14</v>
      </c>
      <c r="G75" t="s">
        <v>25</v>
      </c>
      <c r="H75">
        <v>36</v>
      </c>
      <c r="I75">
        <v>109</v>
      </c>
      <c r="J75">
        <v>14</v>
      </c>
      <c r="K75">
        <v>16</v>
      </c>
      <c r="L75" t="s">
        <v>64</v>
      </c>
      <c r="M75">
        <v>1330</v>
      </c>
      <c r="N75">
        <v>2316</v>
      </c>
      <c r="O75">
        <v>1330</v>
      </c>
      <c r="P75">
        <v>14</v>
      </c>
      <c r="Q75">
        <v>1</v>
      </c>
      <c r="R75">
        <v>10.035999</v>
      </c>
      <c r="S75" t="s">
        <v>28</v>
      </c>
      <c r="T75">
        <v>3.9942040000000003E-3</v>
      </c>
      <c r="U75">
        <v>9.8745369999999992E-3</v>
      </c>
      <c r="V75">
        <v>18</v>
      </c>
      <c r="W75">
        <v>51</v>
      </c>
      <c r="X75">
        <v>42</v>
      </c>
      <c r="Y75">
        <v>14</v>
      </c>
    </row>
    <row r="76" spans="1:30" x14ac:dyDescent="0.25">
      <c r="A76">
        <v>7.9625200000000001E-4</v>
      </c>
      <c r="B76">
        <v>1.88888888888888</v>
      </c>
      <c r="C76">
        <v>14.800000190734799</v>
      </c>
      <c r="D76">
        <v>87</v>
      </c>
      <c r="E76">
        <v>25</v>
      </c>
      <c r="F76">
        <v>26</v>
      </c>
      <c r="G76" t="s">
        <v>25</v>
      </c>
      <c r="H76">
        <v>37</v>
      </c>
      <c r="I76">
        <v>50</v>
      </c>
      <c r="J76">
        <v>26</v>
      </c>
      <c r="K76">
        <v>6</v>
      </c>
      <c r="L76" t="s">
        <v>65</v>
      </c>
      <c r="M76">
        <v>119</v>
      </c>
      <c r="N76">
        <v>289</v>
      </c>
      <c r="O76">
        <v>119</v>
      </c>
      <c r="P76">
        <v>9</v>
      </c>
      <c r="Q76">
        <v>1</v>
      </c>
      <c r="R76">
        <v>0.96103799999999995</v>
      </c>
      <c r="S76" t="s">
        <v>27</v>
      </c>
      <c r="T76">
        <v>1.42041E-4</v>
      </c>
      <c r="U76">
        <v>9.37929E-4</v>
      </c>
      <c r="V76">
        <v>5</v>
      </c>
      <c r="W76">
        <v>5</v>
      </c>
      <c r="X76">
        <v>34</v>
      </c>
      <c r="Y76">
        <v>26</v>
      </c>
      <c r="AC76">
        <f>U76/U77</f>
        <v>0.66819384502713586</v>
      </c>
      <c r="AD76">
        <f t="shared" ref="AD76" si="35">I76-I77</f>
        <v>-9</v>
      </c>
    </row>
    <row r="77" spans="1:30" x14ac:dyDescent="0.25">
      <c r="A77">
        <v>1.1930630000000001E-3</v>
      </c>
      <c r="B77">
        <v>2</v>
      </c>
      <c r="C77">
        <v>14.800000190734799</v>
      </c>
      <c r="D77">
        <v>87</v>
      </c>
      <c r="E77">
        <v>25</v>
      </c>
      <c r="F77">
        <v>26</v>
      </c>
      <c r="G77" t="s">
        <v>25</v>
      </c>
      <c r="H77">
        <v>37</v>
      </c>
      <c r="I77">
        <v>59</v>
      </c>
      <c r="J77">
        <v>26</v>
      </c>
      <c r="K77">
        <v>6</v>
      </c>
      <c r="L77" t="s">
        <v>65</v>
      </c>
      <c r="M77">
        <v>109</v>
      </c>
      <c r="N77">
        <v>306</v>
      </c>
      <c r="O77">
        <v>109</v>
      </c>
      <c r="P77">
        <v>9</v>
      </c>
      <c r="Q77">
        <v>2</v>
      </c>
      <c r="R77">
        <v>1.449349</v>
      </c>
      <c r="S77" t="s">
        <v>28</v>
      </c>
      <c r="T77">
        <v>2.1104500000000001E-4</v>
      </c>
      <c r="U77">
        <v>1.403678E-3</v>
      </c>
      <c r="V77">
        <v>5</v>
      </c>
      <c r="W77">
        <v>4</v>
      </c>
      <c r="X77">
        <v>43</v>
      </c>
      <c r="Y77">
        <v>26</v>
      </c>
    </row>
    <row r="78" spans="1:30" x14ac:dyDescent="0.25">
      <c r="A78">
        <v>2.056109E-3</v>
      </c>
      <c r="B78">
        <v>2.7803468208092399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67</v>
      </c>
      <c r="J78">
        <v>4</v>
      </c>
      <c r="K78">
        <v>10</v>
      </c>
      <c r="L78" t="s">
        <v>66</v>
      </c>
      <c r="M78">
        <v>267</v>
      </c>
      <c r="N78">
        <v>481</v>
      </c>
      <c r="O78">
        <v>267</v>
      </c>
      <c r="P78">
        <v>4</v>
      </c>
      <c r="Q78">
        <v>1</v>
      </c>
      <c r="R78">
        <v>2.512454</v>
      </c>
      <c r="S78" t="s">
        <v>27</v>
      </c>
      <c r="T78">
        <v>4.3817999999999998E-4</v>
      </c>
      <c r="U78">
        <v>2.4938349999999998E-3</v>
      </c>
      <c r="V78">
        <v>5</v>
      </c>
      <c r="W78">
        <v>18</v>
      </c>
      <c r="X78">
        <v>45</v>
      </c>
      <c r="Y78">
        <v>4</v>
      </c>
      <c r="AC78">
        <f>U78/U79</f>
        <v>1.274158368846759</v>
      </c>
      <c r="AD78">
        <f t="shared" ref="AD78" si="36">I78-I79</f>
        <v>4</v>
      </c>
    </row>
    <row r="79" spans="1:30" x14ac:dyDescent="0.25">
      <c r="A79">
        <v>1.65929099999999E-3</v>
      </c>
      <c r="B79">
        <v>2.72832369942196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8</v>
      </c>
      <c r="L79" t="s">
        <v>66</v>
      </c>
      <c r="M79">
        <v>225</v>
      </c>
      <c r="N79">
        <v>472</v>
      </c>
      <c r="O79">
        <v>225</v>
      </c>
      <c r="P79">
        <v>4</v>
      </c>
      <c r="Q79">
        <v>1</v>
      </c>
      <c r="R79">
        <v>1.9982690000000001</v>
      </c>
      <c r="S79" t="s">
        <v>28</v>
      </c>
      <c r="T79">
        <v>2.9835099999999998E-4</v>
      </c>
      <c r="U79">
        <v>1.9572410000000002E-3</v>
      </c>
      <c r="V79">
        <v>5</v>
      </c>
      <c r="W79">
        <v>12</v>
      </c>
      <c r="X79">
        <v>45</v>
      </c>
      <c r="Y79">
        <v>4</v>
      </c>
    </row>
    <row r="80" spans="1:30" x14ac:dyDescent="0.25">
      <c r="A80">
        <v>1.5919812999999901E-2</v>
      </c>
      <c r="B80">
        <v>5.5425531914893602</v>
      </c>
      <c r="C80">
        <v>15.949999809265099</v>
      </c>
      <c r="D80">
        <v>2246</v>
      </c>
      <c r="E80">
        <v>25</v>
      </c>
      <c r="F80">
        <v>341</v>
      </c>
      <c r="G80" t="s">
        <v>25</v>
      </c>
      <c r="H80">
        <v>39</v>
      </c>
      <c r="I80">
        <v>247</v>
      </c>
      <c r="J80">
        <v>341</v>
      </c>
      <c r="K80">
        <v>34</v>
      </c>
      <c r="L80" t="s">
        <v>67</v>
      </c>
      <c r="M80">
        <v>2661</v>
      </c>
      <c r="N80">
        <v>3647</v>
      </c>
      <c r="O80">
        <v>2661</v>
      </c>
      <c r="P80">
        <v>22</v>
      </c>
      <c r="Q80">
        <v>1</v>
      </c>
      <c r="R80">
        <v>58.332773000000003</v>
      </c>
      <c r="S80" t="s">
        <v>27</v>
      </c>
      <c r="T80">
        <v>4.2244493000000001E-2</v>
      </c>
      <c r="U80">
        <v>5.8163847999999997E-2</v>
      </c>
      <c r="V80">
        <v>20</v>
      </c>
      <c r="W80">
        <v>119</v>
      </c>
      <c r="X80">
        <v>104</v>
      </c>
      <c r="Y80">
        <v>341</v>
      </c>
      <c r="AC80">
        <f>U80/U81</f>
        <v>1.5521304676823304</v>
      </c>
      <c r="AD80">
        <f t="shared" ref="AD80" si="37">I80-I81</f>
        <v>79</v>
      </c>
    </row>
    <row r="81" spans="1:30" x14ac:dyDescent="0.25">
      <c r="A81">
        <v>1.1387621999999899E-2</v>
      </c>
      <c r="B81">
        <v>5.7689969604863203</v>
      </c>
      <c r="C81">
        <v>15.949999809265099</v>
      </c>
      <c r="D81">
        <v>2246</v>
      </c>
      <c r="E81">
        <v>25</v>
      </c>
      <c r="F81">
        <v>341</v>
      </c>
      <c r="G81" t="s">
        <v>25</v>
      </c>
      <c r="H81">
        <v>39</v>
      </c>
      <c r="I81">
        <v>168</v>
      </c>
      <c r="J81">
        <v>341</v>
      </c>
      <c r="K81">
        <v>30</v>
      </c>
      <c r="L81" t="s">
        <v>67</v>
      </c>
      <c r="M81">
        <v>2320</v>
      </c>
      <c r="N81">
        <v>3796</v>
      </c>
      <c r="O81">
        <v>2320</v>
      </c>
      <c r="P81">
        <v>22</v>
      </c>
      <c r="Q81">
        <v>1</v>
      </c>
      <c r="R81">
        <v>37.658492000000003</v>
      </c>
      <c r="S81" t="s">
        <v>28</v>
      </c>
      <c r="T81">
        <v>2.6086396000000001E-2</v>
      </c>
      <c r="U81">
        <v>3.7473555999999998E-2</v>
      </c>
      <c r="V81">
        <v>20</v>
      </c>
      <c r="W81">
        <v>100</v>
      </c>
      <c r="X81">
        <v>44</v>
      </c>
      <c r="Y81">
        <v>341</v>
      </c>
    </row>
    <row r="82" spans="1:30" x14ac:dyDescent="0.25">
      <c r="A82">
        <v>2.2687380000000002E-3</v>
      </c>
      <c r="B82">
        <v>3.7158469945355099</v>
      </c>
      <c r="C82">
        <v>17.799999237060501</v>
      </c>
      <c r="D82">
        <v>136</v>
      </c>
      <c r="E82">
        <v>25</v>
      </c>
      <c r="F82">
        <v>11</v>
      </c>
      <c r="G82" t="s">
        <v>25</v>
      </c>
      <c r="H82">
        <v>40</v>
      </c>
      <c r="I82">
        <v>85</v>
      </c>
      <c r="J82">
        <v>11</v>
      </c>
      <c r="K82">
        <v>10</v>
      </c>
      <c r="L82" t="s">
        <v>68</v>
      </c>
      <c r="M82">
        <v>443</v>
      </c>
      <c r="N82">
        <v>680</v>
      </c>
      <c r="O82">
        <v>443</v>
      </c>
      <c r="P82">
        <v>11</v>
      </c>
      <c r="Q82">
        <v>1</v>
      </c>
      <c r="R82">
        <v>3.1528999999999998</v>
      </c>
      <c r="S82" t="s">
        <v>27</v>
      </c>
      <c r="T82">
        <v>8.4368300000000002E-4</v>
      </c>
      <c r="U82">
        <v>3.1118169999999998E-3</v>
      </c>
      <c r="V82">
        <v>5</v>
      </c>
      <c r="W82">
        <v>30</v>
      </c>
      <c r="X82">
        <v>42</v>
      </c>
      <c r="Y82">
        <v>11</v>
      </c>
      <c r="AC82">
        <f>U82/U83</f>
        <v>0.82783833962894582</v>
      </c>
      <c r="AD82">
        <f t="shared" ref="AD82" si="38">I82-I83</f>
        <v>-5</v>
      </c>
    </row>
    <row r="83" spans="1:30" x14ac:dyDescent="0.25">
      <c r="A83">
        <v>2.697564E-3</v>
      </c>
      <c r="B83">
        <v>4.4754098360655696</v>
      </c>
      <c r="C83">
        <v>17.799999237060501</v>
      </c>
      <c r="D83">
        <v>136</v>
      </c>
      <c r="E83">
        <v>25</v>
      </c>
      <c r="F83">
        <v>11</v>
      </c>
      <c r="G83" t="s">
        <v>25</v>
      </c>
      <c r="H83">
        <v>40</v>
      </c>
      <c r="I83">
        <v>90</v>
      </c>
      <c r="J83">
        <v>11</v>
      </c>
      <c r="K83">
        <v>14</v>
      </c>
      <c r="L83" t="s">
        <v>68</v>
      </c>
      <c r="M83">
        <v>486</v>
      </c>
      <c r="N83">
        <v>819</v>
      </c>
      <c r="O83">
        <v>486</v>
      </c>
      <c r="P83">
        <v>11</v>
      </c>
      <c r="Q83">
        <v>1</v>
      </c>
      <c r="R83">
        <v>3.8058290000000001</v>
      </c>
      <c r="S83" t="s">
        <v>28</v>
      </c>
      <c r="T83">
        <v>1.06189E-3</v>
      </c>
      <c r="U83">
        <v>3.7589670000000002E-3</v>
      </c>
      <c r="V83">
        <v>5</v>
      </c>
      <c r="W83">
        <v>37</v>
      </c>
      <c r="X83">
        <v>40</v>
      </c>
      <c r="Y83">
        <v>11</v>
      </c>
    </row>
    <row r="84" spans="1:30" x14ac:dyDescent="0.25">
      <c r="A84">
        <v>9.6206299999999998E-4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1.0705359999999999</v>
      </c>
      <c r="S84" t="s">
        <v>27</v>
      </c>
      <c r="T84" s="1">
        <v>9.4328999999999998E-5</v>
      </c>
      <c r="U84">
        <v>1.0559219999999999E-3</v>
      </c>
      <c r="V84">
        <v>5</v>
      </c>
      <c r="W84">
        <v>1</v>
      </c>
      <c r="X84">
        <v>46</v>
      </c>
      <c r="Y84">
        <v>2</v>
      </c>
      <c r="AC84">
        <f>U84/U85</f>
        <v>1.0275513083757457</v>
      </c>
      <c r="AD84">
        <f t="shared" ref="AD84" si="39">I84-I85</f>
        <v>10</v>
      </c>
    </row>
    <row r="85" spans="1:30" x14ac:dyDescent="0.25">
      <c r="A85">
        <v>9.42171E-4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1.0907830000000001</v>
      </c>
      <c r="S85" t="s">
        <v>28</v>
      </c>
      <c r="T85" s="1">
        <v>8.5908000000000005E-5</v>
      </c>
      <c r="U85">
        <v>1.02761E-3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9.7857849999999896E-3</v>
      </c>
      <c r="B86">
        <v>3.9272486772486701</v>
      </c>
      <c r="C86">
        <v>15.25</v>
      </c>
      <c r="D86">
        <v>2865</v>
      </c>
      <c r="E86">
        <v>25</v>
      </c>
      <c r="F86">
        <v>318</v>
      </c>
      <c r="G86" t="s">
        <v>25</v>
      </c>
      <c r="H86">
        <v>42</v>
      </c>
      <c r="I86">
        <v>137</v>
      </c>
      <c r="J86">
        <v>318</v>
      </c>
      <c r="K86">
        <v>24</v>
      </c>
      <c r="L86" t="s">
        <v>70</v>
      </c>
      <c r="M86">
        <v>1913</v>
      </c>
      <c r="N86">
        <v>2969</v>
      </c>
      <c r="O86">
        <v>1913</v>
      </c>
      <c r="P86">
        <v>24</v>
      </c>
      <c r="Q86">
        <v>1</v>
      </c>
      <c r="R86">
        <v>25.910931999999999</v>
      </c>
      <c r="S86" t="s">
        <v>27</v>
      </c>
      <c r="T86">
        <v>1.6001296000000002E-2</v>
      </c>
      <c r="U86">
        <v>2.5786555999999999E-2</v>
      </c>
      <c r="V86">
        <v>24</v>
      </c>
      <c r="W86">
        <v>89</v>
      </c>
      <c r="X86">
        <v>22</v>
      </c>
      <c r="Y86">
        <v>318</v>
      </c>
      <c r="AC86">
        <f>U86/U87</f>
        <v>0.99580097400720458</v>
      </c>
      <c r="AD86">
        <f t="shared" ref="AD86" si="40">I86-I87</f>
        <v>15</v>
      </c>
    </row>
    <row r="87" spans="1:30" x14ac:dyDescent="0.25">
      <c r="A87">
        <v>9.5152740000000006E-3</v>
      </c>
      <c r="B87">
        <v>4.3029100529100504</v>
      </c>
      <c r="C87">
        <v>15.25</v>
      </c>
      <c r="D87">
        <v>2865</v>
      </c>
      <c r="E87">
        <v>25</v>
      </c>
      <c r="F87">
        <v>318</v>
      </c>
      <c r="G87" t="s">
        <v>25</v>
      </c>
      <c r="H87">
        <v>42</v>
      </c>
      <c r="I87">
        <v>122</v>
      </c>
      <c r="J87">
        <v>318</v>
      </c>
      <c r="K87">
        <v>25</v>
      </c>
      <c r="L87" t="s">
        <v>70</v>
      </c>
      <c r="M87">
        <v>1809</v>
      </c>
      <c r="N87">
        <v>3253</v>
      </c>
      <c r="O87">
        <v>1809</v>
      </c>
      <c r="P87">
        <v>24</v>
      </c>
      <c r="Q87">
        <v>1</v>
      </c>
      <c r="R87">
        <v>26.057641</v>
      </c>
      <c r="S87" t="s">
        <v>28</v>
      </c>
      <c r="T87">
        <v>1.6380485E-2</v>
      </c>
      <c r="U87">
        <v>2.5895291000000001E-2</v>
      </c>
      <c r="V87">
        <v>24</v>
      </c>
      <c r="W87">
        <v>78</v>
      </c>
      <c r="X87">
        <v>18</v>
      </c>
      <c r="Y87">
        <v>318</v>
      </c>
    </row>
    <row r="88" spans="1:30" x14ac:dyDescent="0.25">
      <c r="A88">
        <v>1.7881329999999999E-3</v>
      </c>
      <c r="B88">
        <v>3.0935251798561101</v>
      </c>
      <c r="C88">
        <v>13.399999618530201</v>
      </c>
      <c r="D88">
        <v>72</v>
      </c>
      <c r="E88">
        <v>25</v>
      </c>
      <c r="F88">
        <v>12</v>
      </c>
      <c r="G88" t="s">
        <v>25</v>
      </c>
      <c r="H88">
        <v>43</v>
      </c>
      <c r="I88">
        <v>105</v>
      </c>
      <c r="J88">
        <v>12</v>
      </c>
      <c r="K88">
        <v>10</v>
      </c>
      <c r="L88" t="s">
        <v>71</v>
      </c>
      <c r="M88">
        <v>258</v>
      </c>
      <c r="N88">
        <v>430</v>
      </c>
      <c r="O88">
        <v>258</v>
      </c>
      <c r="P88">
        <v>12</v>
      </c>
      <c r="Q88">
        <v>2</v>
      </c>
      <c r="R88">
        <v>2.3115109999999999</v>
      </c>
      <c r="S88" t="s">
        <v>27</v>
      </c>
      <c r="T88">
        <v>5.0429399999999997E-4</v>
      </c>
      <c r="U88">
        <v>2.291969E-3</v>
      </c>
      <c r="V88">
        <v>5</v>
      </c>
      <c r="W88">
        <v>14</v>
      </c>
      <c r="X88">
        <v>78</v>
      </c>
      <c r="Y88">
        <v>12</v>
      </c>
      <c r="AC88">
        <f>U88/U89</f>
        <v>0.85955370108128226</v>
      </c>
      <c r="AD88">
        <f t="shared" ref="AD88" si="41">I88-I89</f>
        <v>9</v>
      </c>
    </row>
    <row r="89" spans="1:30" x14ac:dyDescent="0.25">
      <c r="A89">
        <v>2.0447590000000002E-3</v>
      </c>
      <c r="B89">
        <v>3.44604316546762</v>
      </c>
      <c r="C89">
        <v>13.399999618530201</v>
      </c>
      <c r="D89">
        <v>72</v>
      </c>
      <c r="E89">
        <v>25</v>
      </c>
      <c r="F89">
        <v>12</v>
      </c>
      <c r="G89" t="s">
        <v>25</v>
      </c>
      <c r="H89">
        <v>43</v>
      </c>
      <c r="I89">
        <v>96</v>
      </c>
      <c r="J89">
        <v>12</v>
      </c>
      <c r="K89">
        <v>11</v>
      </c>
      <c r="L89" t="s">
        <v>71</v>
      </c>
      <c r="M89">
        <v>269</v>
      </c>
      <c r="N89">
        <v>479</v>
      </c>
      <c r="O89">
        <v>269</v>
      </c>
      <c r="P89">
        <v>12</v>
      </c>
      <c r="Q89">
        <v>1</v>
      </c>
      <c r="R89">
        <v>2.707341</v>
      </c>
      <c r="S89" t="s">
        <v>28</v>
      </c>
      <c r="T89">
        <v>6.2218099999999997E-4</v>
      </c>
      <c r="U89">
        <v>2.6664639999999999E-3</v>
      </c>
      <c r="V89">
        <v>5</v>
      </c>
      <c r="W89">
        <v>16</v>
      </c>
      <c r="X89">
        <v>68</v>
      </c>
      <c r="Y89">
        <v>12</v>
      </c>
    </row>
    <row r="90" spans="1:30" x14ac:dyDescent="0.25">
      <c r="A90">
        <v>2.6695149999999999E-3</v>
      </c>
      <c r="B90">
        <v>4.5228426395939003</v>
      </c>
      <c r="C90">
        <v>13.571428298950099</v>
      </c>
      <c r="D90">
        <v>150</v>
      </c>
      <c r="E90">
        <v>25</v>
      </c>
      <c r="F90">
        <v>51</v>
      </c>
      <c r="G90" t="s">
        <v>25</v>
      </c>
      <c r="H90">
        <v>44</v>
      </c>
      <c r="I90">
        <v>87</v>
      </c>
      <c r="J90">
        <v>51</v>
      </c>
      <c r="K90">
        <v>13</v>
      </c>
      <c r="L90" t="s">
        <v>72</v>
      </c>
      <c r="M90">
        <v>606</v>
      </c>
      <c r="N90">
        <v>891</v>
      </c>
      <c r="O90">
        <v>606</v>
      </c>
      <c r="P90">
        <v>10</v>
      </c>
      <c r="Q90">
        <v>1</v>
      </c>
      <c r="R90">
        <v>4.4184520000000003</v>
      </c>
      <c r="S90" t="s">
        <v>27</v>
      </c>
      <c r="T90">
        <v>1.710568E-3</v>
      </c>
      <c r="U90">
        <v>4.3796420000000004E-3</v>
      </c>
      <c r="V90">
        <v>7</v>
      </c>
      <c r="W90">
        <v>41</v>
      </c>
      <c r="X90">
        <v>34</v>
      </c>
      <c r="Y90">
        <v>51</v>
      </c>
      <c r="AC90">
        <f>U90/U91</f>
        <v>1.2776521252329791</v>
      </c>
      <c r="AD90">
        <f t="shared" ref="AD90" si="42">I90-I91</f>
        <v>3</v>
      </c>
    </row>
    <row r="91" spans="1:30" x14ac:dyDescent="0.25">
      <c r="A91">
        <v>2.386984E-3</v>
      </c>
      <c r="B91">
        <v>5</v>
      </c>
      <c r="C91">
        <v>13.571428298950099</v>
      </c>
      <c r="D91">
        <v>150</v>
      </c>
      <c r="E91">
        <v>25</v>
      </c>
      <c r="F91">
        <v>51</v>
      </c>
      <c r="G91" t="s">
        <v>25</v>
      </c>
      <c r="H91">
        <v>44</v>
      </c>
      <c r="I91">
        <v>84</v>
      </c>
      <c r="J91">
        <v>51</v>
      </c>
      <c r="K91">
        <v>16</v>
      </c>
      <c r="L91" t="s">
        <v>72</v>
      </c>
      <c r="M91">
        <v>587</v>
      </c>
      <c r="N91">
        <v>985</v>
      </c>
      <c r="O91">
        <v>587</v>
      </c>
      <c r="P91">
        <v>10</v>
      </c>
      <c r="Q91">
        <v>1</v>
      </c>
      <c r="R91">
        <v>3.5320510000000001</v>
      </c>
      <c r="S91" t="s">
        <v>28</v>
      </c>
      <c r="T91">
        <v>1.0413E-3</v>
      </c>
      <c r="U91">
        <v>3.4278830000000001E-3</v>
      </c>
      <c r="V91">
        <v>7</v>
      </c>
      <c r="W91">
        <v>38</v>
      </c>
      <c r="X91">
        <v>36</v>
      </c>
      <c r="Y91">
        <v>51</v>
      </c>
    </row>
    <row r="92" spans="1:30" x14ac:dyDescent="0.25">
      <c r="A92">
        <v>8.8490899999999905E-4</v>
      </c>
      <c r="B92">
        <v>1.57219251336898</v>
      </c>
      <c r="C92">
        <v>12.857142448425201</v>
      </c>
      <c r="D92">
        <v>126</v>
      </c>
      <c r="E92">
        <v>25</v>
      </c>
      <c r="F92">
        <v>41</v>
      </c>
      <c r="G92" t="s">
        <v>25</v>
      </c>
      <c r="H92">
        <v>45</v>
      </c>
      <c r="I92">
        <v>47</v>
      </c>
      <c r="J92">
        <v>41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6</v>
      </c>
      <c r="Q92">
        <v>1</v>
      </c>
      <c r="R92">
        <v>0.96959099999999998</v>
      </c>
      <c r="S92" t="s">
        <v>27</v>
      </c>
      <c r="T92" s="1">
        <v>6.8868999999999994E-5</v>
      </c>
      <c r="U92">
        <v>9.5339399999999999E-4</v>
      </c>
      <c r="V92">
        <v>7</v>
      </c>
      <c r="W92">
        <v>2</v>
      </c>
      <c r="X92">
        <v>37</v>
      </c>
      <c r="Y92">
        <v>41</v>
      </c>
      <c r="AC92">
        <f>U92/U93</f>
        <v>0.99930716782575424</v>
      </c>
      <c r="AD92">
        <f t="shared" ref="AD92" si="43">I92-I93</f>
        <v>2</v>
      </c>
    </row>
    <row r="93" spans="1:30" x14ac:dyDescent="0.25">
      <c r="A93">
        <v>8.8260699999999999E-4</v>
      </c>
      <c r="B93">
        <v>1.59358288770053</v>
      </c>
      <c r="C93">
        <v>12.857142448425201</v>
      </c>
      <c r="D93">
        <v>126</v>
      </c>
      <c r="E93">
        <v>25</v>
      </c>
      <c r="F93">
        <v>41</v>
      </c>
      <c r="G93" t="s">
        <v>25</v>
      </c>
      <c r="H93">
        <v>45</v>
      </c>
      <c r="I93">
        <v>45</v>
      </c>
      <c r="J93">
        <v>41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6</v>
      </c>
      <c r="Q93">
        <v>1</v>
      </c>
      <c r="R93">
        <v>0.98695500000000003</v>
      </c>
      <c r="S93" t="s">
        <v>28</v>
      </c>
      <c r="T93" s="1">
        <v>7.1835000000000006E-5</v>
      </c>
      <c r="U93">
        <v>9.5405499999999999E-4</v>
      </c>
      <c r="V93">
        <v>7</v>
      </c>
      <c r="W93">
        <v>2</v>
      </c>
      <c r="X93">
        <v>35</v>
      </c>
      <c r="Y93">
        <v>41</v>
      </c>
    </row>
    <row r="94" spans="1:30" x14ac:dyDescent="0.25">
      <c r="A94">
        <v>1.29052789999999E-2</v>
      </c>
      <c r="B94">
        <v>3.9094339622641501</v>
      </c>
      <c r="C94">
        <v>15.399999618530201</v>
      </c>
      <c r="D94">
        <v>3202</v>
      </c>
      <c r="E94">
        <v>25</v>
      </c>
      <c r="F94">
        <v>391</v>
      </c>
      <c r="G94" t="s">
        <v>25</v>
      </c>
      <c r="H94">
        <v>46</v>
      </c>
      <c r="I94">
        <v>186</v>
      </c>
      <c r="J94">
        <v>391</v>
      </c>
      <c r="K94">
        <v>19</v>
      </c>
      <c r="L94" t="s">
        <v>74</v>
      </c>
      <c r="M94">
        <v>2025</v>
      </c>
      <c r="N94">
        <v>3108</v>
      </c>
      <c r="O94">
        <v>2025</v>
      </c>
      <c r="P94">
        <v>26</v>
      </c>
      <c r="Q94">
        <v>1</v>
      </c>
      <c r="R94">
        <v>33.635365999999998</v>
      </c>
      <c r="S94" t="s">
        <v>27</v>
      </c>
      <c r="T94">
        <v>2.0604033000000001E-2</v>
      </c>
      <c r="U94">
        <v>3.3508795000000001E-2</v>
      </c>
      <c r="V94">
        <v>25</v>
      </c>
      <c r="W94">
        <v>86</v>
      </c>
      <c r="X94">
        <v>72</v>
      </c>
      <c r="Y94">
        <v>391</v>
      </c>
      <c r="AC94">
        <f>U94/U95</f>
        <v>0.72906953956939313</v>
      </c>
      <c r="AD94">
        <f t="shared" ref="AD94" si="44">I94-I95</f>
        <v>12</v>
      </c>
    </row>
    <row r="95" spans="1:30" x14ac:dyDescent="0.25">
      <c r="A95">
        <v>1.4271414E-2</v>
      </c>
      <c r="B95">
        <v>4.5610062893081702</v>
      </c>
      <c r="C95">
        <v>15.399999618530201</v>
      </c>
      <c r="D95">
        <v>3202</v>
      </c>
      <c r="E95">
        <v>25</v>
      </c>
      <c r="F95">
        <v>391</v>
      </c>
      <c r="G95" t="s">
        <v>25</v>
      </c>
      <c r="H95">
        <v>46</v>
      </c>
      <c r="I95">
        <v>174</v>
      </c>
      <c r="J95">
        <v>391</v>
      </c>
      <c r="K95">
        <v>26</v>
      </c>
      <c r="L95" t="s">
        <v>74</v>
      </c>
      <c r="M95">
        <v>2095</v>
      </c>
      <c r="N95">
        <v>3626</v>
      </c>
      <c r="O95">
        <v>2095</v>
      </c>
      <c r="P95">
        <v>26</v>
      </c>
      <c r="Q95">
        <v>1</v>
      </c>
      <c r="R95">
        <v>46.142569999999999</v>
      </c>
      <c r="S95" t="s">
        <v>28</v>
      </c>
      <c r="T95">
        <v>3.1690125E-2</v>
      </c>
      <c r="U95">
        <v>4.5961041000000001E-2</v>
      </c>
      <c r="V95">
        <v>25</v>
      </c>
      <c r="W95">
        <v>87</v>
      </c>
      <c r="X95">
        <v>59</v>
      </c>
      <c r="Y95">
        <v>391</v>
      </c>
    </row>
    <row r="96" spans="1:30" x14ac:dyDescent="0.25">
      <c r="A96">
        <v>6.3019659999999896E-3</v>
      </c>
      <c r="B96">
        <v>3.5598290598290498</v>
      </c>
      <c r="C96">
        <v>16.214284896850501</v>
      </c>
      <c r="D96">
        <v>970</v>
      </c>
      <c r="E96">
        <v>25</v>
      </c>
      <c r="F96">
        <v>88</v>
      </c>
      <c r="G96" t="s">
        <v>25</v>
      </c>
      <c r="H96">
        <v>47</v>
      </c>
      <c r="I96">
        <v>139</v>
      </c>
      <c r="J96">
        <v>88</v>
      </c>
      <c r="K96">
        <v>19</v>
      </c>
      <c r="L96" t="s">
        <v>75</v>
      </c>
      <c r="M96">
        <v>1002</v>
      </c>
      <c r="N96">
        <v>1666</v>
      </c>
      <c r="O96">
        <v>1002</v>
      </c>
      <c r="P96">
        <v>41</v>
      </c>
      <c r="Q96">
        <v>2</v>
      </c>
      <c r="R96">
        <v>27.075023000000002</v>
      </c>
      <c r="S96" t="s">
        <v>27</v>
      </c>
      <c r="T96">
        <v>2.0664933999999999E-2</v>
      </c>
      <c r="U96">
        <v>2.6966437999999999E-2</v>
      </c>
      <c r="V96">
        <v>14</v>
      </c>
      <c r="W96">
        <v>62</v>
      </c>
      <c r="X96">
        <v>35</v>
      </c>
      <c r="Y96">
        <v>88</v>
      </c>
      <c r="AC96">
        <f>U96/U97</f>
        <v>1.0732283582396061</v>
      </c>
      <c r="AD96">
        <f t="shared" ref="AD96" si="45">I96-I97</f>
        <v>3</v>
      </c>
    </row>
    <row r="97" spans="1:30" x14ac:dyDescent="0.25">
      <c r="A97">
        <v>5.8478089999999903E-3</v>
      </c>
      <c r="B97">
        <v>3.9038461538461502</v>
      </c>
      <c r="C97">
        <v>16.214284896850501</v>
      </c>
      <c r="D97">
        <v>970</v>
      </c>
      <c r="E97">
        <v>25</v>
      </c>
      <c r="F97">
        <v>88</v>
      </c>
      <c r="G97" t="s">
        <v>25</v>
      </c>
      <c r="H97">
        <v>47</v>
      </c>
      <c r="I97">
        <v>136</v>
      </c>
      <c r="J97">
        <v>88</v>
      </c>
      <c r="K97">
        <v>21</v>
      </c>
      <c r="L97" t="s">
        <v>75</v>
      </c>
      <c r="M97">
        <v>874</v>
      </c>
      <c r="N97">
        <v>1827</v>
      </c>
      <c r="O97">
        <v>874</v>
      </c>
      <c r="P97">
        <v>45</v>
      </c>
      <c r="Q97">
        <v>2</v>
      </c>
      <c r="R97">
        <v>25.262682999999999</v>
      </c>
      <c r="S97" t="s">
        <v>28</v>
      </c>
      <c r="T97">
        <v>1.9279134E-2</v>
      </c>
      <c r="U97">
        <v>2.5126467999999999E-2</v>
      </c>
      <c r="V97">
        <v>14</v>
      </c>
      <c r="W97">
        <v>58</v>
      </c>
      <c r="X97">
        <v>32</v>
      </c>
      <c r="Y97">
        <v>88</v>
      </c>
    </row>
    <row r="98" spans="1:30" s="2" customFormat="1" x14ac:dyDescent="0.25">
      <c r="A98" s="2">
        <v>3.3241099999999899E-2</v>
      </c>
      <c r="B98" s="2">
        <v>5.7916331456154397</v>
      </c>
      <c r="C98" s="2">
        <v>20.931034088134702</v>
      </c>
      <c r="D98" s="2">
        <v>5915</v>
      </c>
      <c r="E98" s="2">
        <v>33</v>
      </c>
      <c r="F98" s="2">
        <v>81</v>
      </c>
      <c r="G98" s="2" t="s">
        <v>25</v>
      </c>
      <c r="H98" s="2">
        <v>48</v>
      </c>
      <c r="I98" s="2">
        <v>244</v>
      </c>
      <c r="J98" s="2">
        <v>81</v>
      </c>
      <c r="K98" s="2">
        <v>21</v>
      </c>
      <c r="L98" s="2" t="s">
        <v>76</v>
      </c>
      <c r="M98" s="2">
        <v>5331</v>
      </c>
      <c r="N98" s="2">
        <v>7199</v>
      </c>
      <c r="O98" s="2">
        <v>5331</v>
      </c>
      <c r="P98" s="2">
        <v>46</v>
      </c>
      <c r="Q98" s="2">
        <v>1</v>
      </c>
      <c r="R98" s="2">
        <v>137.36143899999999</v>
      </c>
      <c r="S98" s="2" t="s">
        <v>27</v>
      </c>
      <c r="T98" s="2">
        <v>0.103817304</v>
      </c>
      <c r="U98" s="2">
        <v>0.137057973</v>
      </c>
      <c r="V98" s="2">
        <v>29</v>
      </c>
      <c r="W98" s="2">
        <v>123</v>
      </c>
      <c r="X98" s="2">
        <v>73</v>
      </c>
      <c r="Y98" s="2">
        <v>81</v>
      </c>
      <c r="AC98" s="2">
        <f>U98/U99</f>
        <v>1.1712005756793178</v>
      </c>
      <c r="AD98" s="2">
        <f t="shared" ref="AD98" si="46">I98-I99</f>
        <v>55</v>
      </c>
    </row>
    <row r="99" spans="1:30" x14ac:dyDescent="0.25">
      <c r="A99">
        <v>2.6691897999999999E-2</v>
      </c>
      <c r="B99">
        <v>5.8020917135961296</v>
      </c>
      <c r="C99">
        <v>20.931034088134702</v>
      </c>
      <c r="D99">
        <v>5915</v>
      </c>
      <c r="E99">
        <v>33</v>
      </c>
      <c r="F99">
        <v>81</v>
      </c>
      <c r="G99" t="s">
        <v>25</v>
      </c>
      <c r="H99">
        <v>48</v>
      </c>
      <c r="I99">
        <v>189</v>
      </c>
      <c r="J99">
        <v>81</v>
      </c>
      <c r="K99">
        <v>19</v>
      </c>
      <c r="L99" t="s">
        <v>76</v>
      </c>
      <c r="M99">
        <v>4499</v>
      </c>
      <c r="N99">
        <v>7212</v>
      </c>
      <c r="O99">
        <v>4499</v>
      </c>
      <c r="P99">
        <v>46</v>
      </c>
      <c r="Q99">
        <v>1</v>
      </c>
      <c r="R99">
        <v>117.358982</v>
      </c>
      <c r="S99" t="s">
        <v>28</v>
      </c>
      <c r="T99">
        <v>9.0332181999999997E-2</v>
      </c>
      <c r="U99">
        <v>0.117023485</v>
      </c>
      <c r="V99">
        <v>29</v>
      </c>
      <c r="W99">
        <v>100</v>
      </c>
      <c r="X99">
        <v>41</v>
      </c>
      <c r="Y99">
        <v>81</v>
      </c>
    </row>
    <row r="100" spans="1:30" x14ac:dyDescent="0.25">
      <c r="A100">
        <v>1.5039944E-2</v>
      </c>
      <c r="B100">
        <v>5.5292307692307601</v>
      </c>
      <c r="C100">
        <v>19</v>
      </c>
      <c r="D100">
        <v>3735</v>
      </c>
      <c r="E100">
        <v>33</v>
      </c>
      <c r="F100">
        <v>59</v>
      </c>
      <c r="G100" t="s">
        <v>25</v>
      </c>
      <c r="H100">
        <v>49</v>
      </c>
      <c r="I100">
        <v>177</v>
      </c>
      <c r="J100">
        <v>59</v>
      </c>
      <c r="K100">
        <v>28</v>
      </c>
      <c r="L100" t="s">
        <v>77</v>
      </c>
      <c r="M100">
        <v>3861</v>
      </c>
      <c r="N100">
        <v>5391</v>
      </c>
      <c r="O100">
        <v>3861</v>
      </c>
      <c r="P100">
        <v>59</v>
      </c>
      <c r="Q100">
        <v>1</v>
      </c>
      <c r="R100">
        <v>53.695296999999997</v>
      </c>
      <c r="S100" t="s">
        <v>27</v>
      </c>
      <c r="T100">
        <v>3.8435704000000001E-2</v>
      </c>
      <c r="U100">
        <v>5.3475164999999998E-2</v>
      </c>
      <c r="V100">
        <v>25</v>
      </c>
      <c r="W100">
        <v>107</v>
      </c>
      <c r="X100">
        <v>9</v>
      </c>
      <c r="Y100">
        <v>59</v>
      </c>
      <c r="AC100">
        <f>U100/U101</f>
        <v>1.0852423527941024</v>
      </c>
      <c r="AD100">
        <f t="shared" ref="AD100" si="47">I100-I101</f>
        <v>18</v>
      </c>
    </row>
    <row r="101" spans="1:30" x14ac:dyDescent="0.25">
      <c r="A101">
        <v>1.46026159999999E-2</v>
      </c>
      <c r="B101">
        <v>6.3179487179487097</v>
      </c>
      <c r="C101">
        <v>19</v>
      </c>
      <c r="D101">
        <v>3735</v>
      </c>
      <c r="E101">
        <v>33</v>
      </c>
      <c r="F101">
        <v>59</v>
      </c>
      <c r="G101" t="s">
        <v>25</v>
      </c>
      <c r="H101">
        <v>49</v>
      </c>
      <c r="I101">
        <v>159</v>
      </c>
      <c r="J101">
        <v>59</v>
      </c>
      <c r="K101">
        <v>34</v>
      </c>
      <c r="L101" t="s">
        <v>77</v>
      </c>
      <c r="M101">
        <v>3833</v>
      </c>
      <c r="N101">
        <v>6160</v>
      </c>
      <c r="O101">
        <v>3833</v>
      </c>
      <c r="P101">
        <v>59</v>
      </c>
      <c r="Q101">
        <v>1</v>
      </c>
      <c r="R101">
        <v>49.542394999999999</v>
      </c>
      <c r="S101" t="s">
        <v>28</v>
      </c>
      <c r="T101">
        <v>3.4672910000000001E-2</v>
      </c>
      <c r="U101">
        <v>4.9274859999999997E-2</v>
      </c>
      <c r="V101">
        <v>25</v>
      </c>
      <c r="W101">
        <v>94</v>
      </c>
      <c r="X101">
        <v>4</v>
      </c>
      <c r="Y101">
        <v>59</v>
      </c>
    </row>
    <row r="102" spans="1:30" x14ac:dyDescent="0.25">
      <c r="A102">
        <v>1.1418421E-2</v>
      </c>
      <c r="B102">
        <v>4.7390710382513603</v>
      </c>
      <c r="C102">
        <v>22.375</v>
      </c>
      <c r="D102">
        <v>2061</v>
      </c>
      <c r="E102">
        <v>33</v>
      </c>
      <c r="F102">
        <v>26</v>
      </c>
      <c r="G102" t="s">
        <v>25</v>
      </c>
      <c r="H102">
        <v>50</v>
      </c>
      <c r="I102">
        <v>178</v>
      </c>
      <c r="J102">
        <v>26</v>
      </c>
      <c r="K102">
        <v>17</v>
      </c>
      <c r="L102" t="s">
        <v>78</v>
      </c>
      <c r="M102">
        <v>2501</v>
      </c>
      <c r="N102">
        <v>3469</v>
      </c>
      <c r="O102">
        <v>2501</v>
      </c>
      <c r="P102">
        <v>26</v>
      </c>
      <c r="Q102">
        <v>1</v>
      </c>
      <c r="R102">
        <v>25.454778000000001</v>
      </c>
      <c r="S102" t="s">
        <v>27</v>
      </c>
      <c r="T102">
        <v>1.3893262999999999E-2</v>
      </c>
      <c r="U102">
        <v>2.5311159999999999E-2</v>
      </c>
      <c r="V102">
        <v>16</v>
      </c>
      <c r="W102">
        <v>87</v>
      </c>
      <c r="X102">
        <v>63</v>
      </c>
      <c r="Y102">
        <v>26</v>
      </c>
      <c r="AC102">
        <f>U102/U103</f>
        <v>1.1866070411844412</v>
      </c>
      <c r="AD102">
        <f t="shared" ref="AD102" si="48">I102-I103</f>
        <v>25</v>
      </c>
    </row>
    <row r="103" spans="1:30" x14ac:dyDescent="0.25">
      <c r="A103">
        <v>9.7813039999999993E-3</v>
      </c>
      <c r="B103">
        <v>4.6338797814207604</v>
      </c>
      <c r="C103">
        <v>22.375</v>
      </c>
      <c r="D103">
        <v>2061</v>
      </c>
      <c r="E103">
        <v>33</v>
      </c>
      <c r="F103">
        <v>26</v>
      </c>
      <c r="G103" t="s">
        <v>25</v>
      </c>
      <c r="H103">
        <v>50</v>
      </c>
      <c r="I103">
        <v>153</v>
      </c>
      <c r="J103">
        <v>26</v>
      </c>
      <c r="K103">
        <v>17</v>
      </c>
      <c r="L103" t="s">
        <v>78</v>
      </c>
      <c r="M103">
        <v>2104</v>
      </c>
      <c r="N103">
        <v>3392</v>
      </c>
      <c r="O103">
        <v>2104</v>
      </c>
      <c r="P103">
        <v>26</v>
      </c>
      <c r="Q103">
        <v>1</v>
      </c>
      <c r="R103">
        <v>21.50629</v>
      </c>
      <c r="S103" t="s">
        <v>28</v>
      </c>
      <c r="T103">
        <v>1.1549963999999999E-2</v>
      </c>
      <c r="U103">
        <v>2.1330701000000001E-2</v>
      </c>
      <c r="V103">
        <v>16</v>
      </c>
      <c r="W103">
        <v>78</v>
      </c>
      <c r="X103">
        <v>47</v>
      </c>
      <c r="Y103">
        <v>26</v>
      </c>
    </row>
    <row r="104" spans="1:30" x14ac:dyDescent="0.25">
      <c r="A104">
        <v>5.8581479999999997E-3</v>
      </c>
      <c r="B104">
        <v>3.3405797101449202</v>
      </c>
      <c r="C104">
        <v>19.214284896850501</v>
      </c>
      <c r="D104">
        <v>1175</v>
      </c>
      <c r="E104">
        <v>33</v>
      </c>
      <c r="F104">
        <v>22</v>
      </c>
      <c r="G104" t="s">
        <v>25</v>
      </c>
      <c r="H104">
        <v>51</v>
      </c>
      <c r="I104">
        <v>141</v>
      </c>
      <c r="J104">
        <v>22</v>
      </c>
      <c r="K104">
        <v>14</v>
      </c>
      <c r="L104" t="s">
        <v>79</v>
      </c>
      <c r="M104">
        <v>1181</v>
      </c>
      <c r="N104">
        <v>1844</v>
      </c>
      <c r="O104">
        <v>1181</v>
      </c>
      <c r="P104">
        <v>22</v>
      </c>
      <c r="Q104">
        <v>1</v>
      </c>
      <c r="R104">
        <v>9.4254909999999992</v>
      </c>
      <c r="S104" t="s">
        <v>27</v>
      </c>
      <c r="T104">
        <v>3.5004490000000001E-3</v>
      </c>
      <c r="U104">
        <v>9.3581389999999997E-3</v>
      </c>
      <c r="V104">
        <v>14</v>
      </c>
      <c r="W104">
        <v>48</v>
      </c>
      <c r="X104">
        <v>69</v>
      </c>
      <c r="Y104">
        <v>22</v>
      </c>
      <c r="AC104">
        <f>U104/U105</f>
        <v>0.97864058196353909</v>
      </c>
      <c r="AD104">
        <f t="shared" ref="AD104" si="49">I104-I105</f>
        <v>0</v>
      </c>
    </row>
    <row r="105" spans="1:30" x14ac:dyDescent="0.25">
      <c r="A105">
        <v>5.7293169999999899E-3</v>
      </c>
      <c r="B105">
        <v>3.8007246376811499</v>
      </c>
      <c r="C105">
        <v>19.214284896850501</v>
      </c>
      <c r="D105">
        <v>1175</v>
      </c>
      <c r="E105">
        <v>33</v>
      </c>
      <c r="F105">
        <v>22</v>
      </c>
      <c r="G105" t="s">
        <v>25</v>
      </c>
      <c r="H105">
        <v>51</v>
      </c>
      <c r="I105">
        <v>141</v>
      </c>
      <c r="J105">
        <v>22</v>
      </c>
      <c r="K105">
        <v>18</v>
      </c>
      <c r="L105" t="s">
        <v>79</v>
      </c>
      <c r="M105">
        <v>1237</v>
      </c>
      <c r="N105">
        <v>2098</v>
      </c>
      <c r="O105">
        <v>1237</v>
      </c>
      <c r="P105">
        <v>22</v>
      </c>
      <c r="Q105">
        <v>1</v>
      </c>
      <c r="R105">
        <v>9.7164719999999996</v>
      </c>
      <c r="S105" t="s">
        <v>28</v>
      </c>
      <c r="T105">
        <v>3.8335489999999999E-3</v>
      </c>
      <c r="U105">
        <v>9.5623860000000008E-3</v>
      </c>
      <c r="V105">
        <v>14</v>
      </c>
      <c r="W105">
        <v>58</v>
      </c>
      <c r="X105">
        <v>59</v>
      </c>
      <c r="Y105">
        <v>22</v>
      </c>
    </row>
    <row r="106" spans="1:30" x14ac:dyDescent="0.25">
      <c r="A106">
        <v>5.0052910000000003E-3</v>
      </c>
      <c r="B106">
        <v>3.4704641350210901</v>
      </c>
      <c r="C106">
        <v>19.25</v>
      </c>
      <c r="D106">
        <v>876</v>
      </c>
      <c r="E106">
        <v>33</v>
      </c>
      <c r="F106">
        <v>23</v>
      </c>
      <c r="G106" t="s">
        <v>25</v>
      </c>
      <c r="H106">
        <v>52</v>
      </c>
      <c r="I106">
        <v>120</v>
      </c>
      <c r="J106">
        <v>23</v>
      </c>
      <c r="K106">
        <v>18</v>
      </c>
      <c r="L106" t="s">
        <v>80</v>
      </c>
      <c r="M106">
        <v>1066</v>
      </c>
      <c r="N106">
        <v>1645</v>
      </c>
      <c r="O106">
        <v>1066</v>
      </c>
      <c r="P106">
        <v>23</v>
      </c>
      <c r="Q106">
        <v>1</v>
      </c>
      <c r="R106">
        <v>7.6168149999999999</v>
      </c>
      <c r="S106" t="s">
        <v>27</v>
      </c>
      <c r="T106">
        <v>2.5607910000000002E-3</v>
      </c>
      <c r="U106">
        <v>7.5654249999999998E-3</v>
      </c>
      <c r="V106">
        <v>12</v>
      </c>
      <c r="W106">
        <v>45</v>
      </c>
      <c r="X106">
        <v>50</v>
      </c>
      <c r="Y106">
        <v>23</v>
      </c>
      <c r="AC106">
        <f>U106/U107</f>
        <v>1.0278774876906187</v>
      </c>
      <c r="AD106">
        <f t="shared" ref="AD106" si="50">I106-I107</f>
        <v>-5</v>
      </c>
    </row>
    <row r="107" spans="1:30" x14ac:dyDescent="0.25">
      <c r="A107">
        <v>4.7328530000000004E-3</v>
      </c>
      <c r="B107">
        <v>3.7004219409282699</v>
      </c>
      <c r="C107">
        <v>19.25</v>
      </c>
      <c r="D107">
        <v>876</v>
      </c>
      <c r="E107">
        <v>33</v>
      </c>
      <c r="F107">
        <v>23</v>
      </c>
      <c r="G107" t="s">
        <v>25</v>
      </c>
      <c r="H107">
        <v>52</v>
      </c>
      <c r="I107">
        <v>125</v>
      </c>
      <c r="J107">
        <v>23</v>
      </c>
      <c r="K107">
        <v>19</v>
      </c>
      <c r="L107" t="s">
        <v>80</v>
      </c>
      <c r="M107">
        <v>1025</v>
      </c>
      <c r="N107">
        <v>1754</v>
      </c>
      <c r="O107">
        <v>1025</v>
      </c>
      <c r="P107">
        <v>23</v>
      </c>
      <c r="Q107">
        <v>1</v>
      </c>
      <c r="R107">
        <v>7.4615960000000001</v>
      </c>
      <c r="S107" t="s">
        <v>28</v>
      </c>
      <c r="T107">
        <v>2.6278579999999998E-3</v>
      </c>
      <c r="U107">
        <v>7.3602399999999997E-3</v>
      </c>
      <c r="V107">
        <v>12</v>
      </c>
      <c r="W107">
        <v>47</v>
      </c>
      <c r="X107">
        <v>53</v>
      </c>
      <c r="Y107">
        <v>23</v>
      </c>
    </row>
    <row r="108" spans="1:30" x14ac:dyDescent="0.25">
      <c r="A108">
        <v>1.307227E-3</v>
      </c>
      <c r="B108">
        <v>1.6405228758169901</v>
      </c>
      <c r="C108">
        <v>18.625</v>
      </c>
      <c r="D108">
        <v>307</v>
      </c>
      <c r="E108">
        <v>33</v>
      </c>
      <c r="F108">
        <v>15</v>
      </c>
      <c r="G108" t="s">
        <v>25</v>
      </c>
      <c r="H108">
        <v>53</v>
      </c>
      <c r="I108">
        <v>58</v>
      </c>
      <c r="J108">
        <v>15</v>
      </c>
      <c r="K108">
        <v>5</v>
      </c>
      <c r="L108" t="s">
        <v>81</v>
      </c>
      <c r="M108">
        <v>183</v>
      </c>
      <c r="N108">
        <v>502</v>
      </c>
      <c r="O108">
        <v>183</v>
      </c>
      <c r="P108">
        <v>15</v>
      </c>
      <c r="Q108">
        <v>1</v>
      </c>
      <c r="R108">
        <v>1.492993</v>
      </c>
      <c r="S108" t="s">
        <v>27</v>
      </c>
      <c r="T108">
        <v>1.57093E-4</v>
      </c>
      <c r="U108">
        <v>1.463876E-3</v>
      </c>
      <c r="V108">
        <v>8</v>
      </c>
      <c r="W108">
        <v>4</v>
      </c>
      <c r="X108">
        <v>37</v>
      </c>
      <c r="Y108">
        <v>15</v>
      </c>
      <c r="AC108">
        <f>U108/U109</f>
        <v>0.79763609456493556</v>
      </c>
      <c r="AD108">
        <f t="shared" ref="AD108" si="51">I108-I109</f>
        <v>-10</v>
      </c>
    </row>
    <row r="109" spans="1:30" x14ac:dyDescent="0.25">
      <c r="A109">
        <v>1.5948539999999999E-3</v>
      </c>
      <c r="B109">
        <v>1.9052287581699301</v>
      </c>
      <c r="C109">
        <v>18.625</v>
      </c>
      <c r="D109">
        <v>307</v>
      </c>
      <c r="E109">
        <v>33</v>
      </c>
      <c r="F109">
        <v>15</v>
      </c>
      <c r="G109" t="s">
        <v>25</v>
      </c>
      <c r="H109">
        <v>53</v>
      </c>
      <c r="I109">
        <v>68</v>
      </c>
      <c r="J109">
        <v>15</v>
      </c>
      <c r="K109">
        <v>7</v>
      </c>
      <c r="L109" t="s">
        <v>81</v>
      </c>
      <c r="M109">
        <v>231</v>
      </c>
      <c r="N109">
        <v>583</v>
      </c>
      <c r="O109">
        <v>231</v>
      </c>
      <c r="P109">
        <v>15</v>
      </c>
      <c r="Q109">
        <v>1</v>
      </c>
      <c r="R109">
        <v>1.8771979999999999</v>
      </c>
      <c r="S109" t="s">
        <v>28</v>
      </c>
      <c r="T109">
        <v>2.40817E-4</v>
      </c>
      <c r="U109">
        <v>1.8352679999999999E-3</v>
      </c>
      <c r="V109">
        <v>8</v>
      </c>
      <c r="W109">
        <v>8</v>
      </c>
      <c r="X109">
        <v>43</v>
      </c>
      <c r="Y109">
        <v>15</v>
      </c>
    </row>
    <row r="110" spans="1:30" x14ac:dyDescent="0.25">
      <c r="A110">
        <v>2.7567619999999998E-3</v>
      </c>
      <c r="B110">
        <v>3.05238095238095</v>
      </c>
      <c r="C110">
        <v>12.625</v>
      </c>
      <c r="D110">
        <v>126</v>
      </c>
      <c r="E110">
        <v>33</v>
      </c>
      <c r="F110">
        <v>16</v>
      </c>
      <c r="G110" t="s">
        <v>25</v>
      </c>
      <c r="H110">
        <v>54</v>
      </c>
      <c r="I110">
        <v>135</v>
      </c>
      <c r="J110">
        <v>16</v>
      </c>
      <c r="K110">
        <v>9</v>
      </c>
      <c r="L110" t="s">
        <v>82</v>
      </c>
      <c r="M110">
        <v>407</v>
      </c>
      <c r="N110">
        <v>641</v>
      </c>
      <c r="O110">
        <v>407</v>
      </c>
      <c r="P110">
        <v>16</v>
      </c>
      <c r="Q110">
        <v>1</v>
      </c>
      <c r="R110">
        <v>3.5944889999999998</v>
      </c>
      <c r="S110" t="s">
        <v>27</v>
      </c>
      <c r="T110">
        <v>8.1652000000000005E-4</v>
      </c>
      <c r="U110">
        <v>3.5728470000000001E-3</v>
      </c>
      <c r="V110">
        <v>8</v>
      </c>
      <c r="W110">
        <v>10</v>
      </c>
      <c r="X110">
        <v>109</v>
      </c>
      <c r="Y110">
        <v>16</v>
      </c>
      <c r="AC110">
        <f>U110/U111</f>
        <v>0.84177369524790979</v>
      </c>
      <c r="AD110">
        <f t="shared" ref="AD110" si="52">I110-I111</f>
        <v>7</v>
      </c>
    </row>
    <row r="111" spans="1:30" x14ac:dyDescent="0.25">
      <c r="A111">
        <v>3.0303279999999901E-3</v>
      </c>
      <c r="B111">
        <v>3.1380952380952301</v>
      </c>
      <c r="C111">
        <v>12.625</v>
      </c>
      <c r="D111">
        <v>126</v>
      </c>
      <c r="E111">
        <v>33</v>
      </c>
      <c r="F111">
        <v>16</v>
      </c>
      <c r="G111" t="s">
        <v>25</v>
      </c>
      <c r="H111">
        <v>54</v>
      </c>
      <c r="I111">
        <v>128</v>
      </c>
      <c r="J111">
        <v>16</v>
      </c>
      <c r="K111">
        <v>9</v>
      </c>
      <c r="L111" t="s">
        <v>82</v>
      </c>
      <c r="M111">
        <v>393</v>
      </c>
      <c r="N111">
        <v>659</v>
      </c>
      <c r="O111">
        <v>393</v>
      </c>
      <c r="P111">
        <v>16</v>
      </c>
      <c r="Q111">
        <v>1</v>
      </c>
      <c r="R111">
        <v>4.3166710000000004</v>
      </c>
      <c r="S111" t="s">
        <v>28</v>
      </c>
      <c r="T111">
        <v>1.214822E-3</v>
      </c>
      <c r="U111">
        <v>4.2444270000000003E-3</v>
      </c>
      <c r="V111">
        <v>8</v>
      </c>
      <c r="W111">
        <v>9</v>
      </c>
      <c r="X111">
        <v>103</v>
      </c>
      <c r="Y111">
        <v>16</v>
      </c>
    </row>
    <row r="112" spans="1:30" x14ac:dyDescent="0.25">
      <c r="A112">
        <v>0.147793809999996</v>
      </c>
      <c r="B112">
        <v>23.547683923705701</v>
      </c>
      <c r="C112">
        <v>19.888889312744102</v>
      </c>
      <c r="D112">
        <v>4862</v>
      </c>
      <c r="E112">
        <v>33</v>
      </c>
      <c r="F112">
        <v>161</v>
      </c>
      <c r="G112" t="s">
        <v>25</v>
      </c>
      <c r="H112">
        <v>55</v>
      </c>
      <c r="I112">
        <v>547</v>
      </c>
      <c r="J112">
        <v>161</v>
      </c>
      <c r="K112">
        <v>133</v>
      </c>
      <c r="L112" t="s">
        <v>83</v>
      </c>
      <c r="M112">
        <v>21106</v>
      </c>
      <c r="N112">
        <v>25926</v>
      </c>
      <c r="O112">
        <v>21106</v>
      </c>
      <c r="P112">
        <v>87</v>
      </c>
      <c r="Q112">
        <v>5</v>
      </c>
      <c r="R112">
        <v>94566.987792</v>
      </c>
      <c r="S112" t="s">
        <v>27</v>
      </c>
      <c r="T112">
        <v>86.945335764000006</v>
      </c>
      <c r="U112">
        <v>87.093129044999998</v>
      </c>
      <c r="V112">
        <v>27</v>
      </c>
      <c r="W112">
        <v>422</v>
      </c>
      <c r="X112">
        <v>32</v>
      </c>
      <c r="Y112">
        <v>161</v>
      </c>
      <c r="AC112">
        <f>U112/U113</f>
        <v>1.4291873474719465</v>
      </c>
      <c r="AD112">
        <f t="shared" ref="AD112" si="53">I112-I113</f>
        <v>40</v>
      </c>
    </row>
    <row r="113" spans="1:30" x14ac:dyDescent="0.25">
      <c r="A113">
        <v>0.14488564799999801</v>
      </c>
      <c r="B113">
        <v>30.304268846503099</v>
      </c>
      <c r="C113">
        <v>19.888889312744102</v>
      </c>
      <c r="D113">
        <v>4862</v>
      </c>
      <c r="E113">
        <v>33</v>
      </c>
      <c r="F113">
        <v>161</v>
      </c>
      <c r="G113" t="s">
        <v>25</v>
      </c>
      <c r="H113">
        <v>55</v>
      </c>
      <c r="I113">
        <v>507</v>
      </c>
      <c r="J113">
        <v>161</v>
      </c>
      <c r="K113">
        <v>158</v>
      </c>
      <c r="L113" t="s">
        <v>83</v>
      </c>
      <c r="M113">
        <v>20570</v>
      </c>
      <c r="N113">
        <v>33365</v>
      </c>
      <c r="O113">
        <v>20570</v>
      </c>
      <c r="P113">
        <v>87</v>
      </c>
      <c r="Q113">
        <v>1</v>
      </c>
      <c r="R113">
        <v>65905.469759</v>
      </c>
      <c r="S113" t="s">
        <v>28</v>
      </c>
      <c r="T113">
        <v>60.794031982</v>
      </c>
      <c r="U113">
        <v>60.938916929999998</v>
      </c>
      <c r="V113">
        <v>27</v>
      </c>
      <c r="W113">
        <v>415</v>
      </c>
      <c r="X113">
        <v>3</v>
      </c>
      <c r="Y113">
        <v>161</v>
      </c>
    </row>
    <row r="114" spans="1:30" x14ac:dyDescent="0.25">
      <c r="A114">
        <v>1.4536324999999999E-2</v>
      </c>
      <c r="B114">
        <v>4.3588807785887997</v>
      </c>
      <c r="C114">
        <v>20.049999237060501</v>
      </c>
      <c r="D114">
        <v>2616</v>
      </c>
      <c r="E114">
        <v>33</v>
      </c>
      <c r="F114">
        <v>49</v>
      </c>
      <c r="G114" t="s">
        <v>25</v>
      </c>
      <c r="H114">
        <v>56</v>
      </c>
      <c r="I114">
        <v>194</v>
      </c>
      <c r="J114">
        <v>49</v>
      </c>
      <c r="K114">
        <v>21</v>
      </c>
      <c r="L114" t="s">
        <v>84</v>
      </c>
      <c r="M114">
        <v>2456</v>
      </c>
      <c r="N114">
        <v>3583</v>
      </c>
      <c r="O114">
        <v>2456</v>
      </c>
      <c r="P114">
        <v>49</v>
      </c>
      <c r="Q114">
        <v>1</v>
      </c>
      <c r="R114">
        <v>34.344757999999999</v>
      </c>
      <c r="S114" t="s">
        <v>27</v>
      </c>
      <c r="T114">
        <v>1.9593836999999999E-2</v>
      </c>
      <c r="U114">
        <v>3.4129340000000001E-2</v>
      </c>
      <c r="V114">
        <v>20</v>
      </c>
      <c r="W114">
        <v>83</v>
      </c>
      <c r="X114">
        <v>60</v>
      </c>
      <c r="Y114">
        <v>49</v>
      </c>
      <c r="AC114">
        <f>U114/U115</f>
        <v>0.91686276751660845</v>
      </c>
      <c r="AD114">
        <f t="shared" ref="AD114" si="54">I114-I115</f>
        <v>28</v>
      </c>
    </row>
    <row r="115" spans="1:30" x14ac:dyDescent="0.25">
      <c r="A115">
        <v>1.3243477E-2</v>
      </c>
      <c r="B115">
        <v>5.27858880778588</v>
      </c>
      <c r="C115">
        <v>20.049999237060501</v>
      </c>
      <c r="D115">
        <v>2616</v>
      </c>
      <c r="E115">
        <v>33</v>
      </c>
      <c r="F115">
        <v>49</v>
      </c>
      <c r="G115" t="s">
        <v>25</v>
      </c>
      <c r="H115">
        <v>56</v>
      </c>
      <c r="I115">
        <v>166</v>
      </c>
      <c r="J115">
        <v>49</v>
      </c>
      <c r="K115">
        <v>23</v>
      </c>
      <c r="L115" t="s">
        <v>84</v>
      </c>
      <c r="M115">
        <v>2642</v>
      </c>
      <c r="N115">
        <v>4339</v>
      </c>
      <c r="O115">
        <v>2642</v>
      </c>
      <c r="P115">
        <v>49</v>
      </c>
      <c r="Q115">
        <v>1</v>
      </c>
      <c r="R115">
        <v>37.527867999999998</v>
      </c>
      <c r="S115" t="s">
        <v>28</v>
      </c>
      <c r="T115">
        <v>2.3981123999999999E-2</v>
      </c>
      <c r="U115">
        <v>3.7224043999999998E-2</v>
      </c>
      <c r="V115">
        <v>20</v>
      </c>
      <c r="W115">
        <v>92</v>
      </c>
      <c r="X115">
        <v>23</v>
      </c>
      <c r="Y115">
        <v>49</v>
      </c>
    </row>
    <row r="116" spans="1:30" x14ac:dyDescent="0.25">
      <c r="A116">
        <v>7.5648529999999999E-3</v>
      </c>
      <c r="B116">
        <v>3.1039370078740101</v>
      </c>
      <c r="C116">
        <v>18.176469802856399</v>
      </c>
      <c r="D116">
        <v>1632</v>
      </c>
      <c r="E116">
        <v>33</v>
      </c>
      <c r="F116">
        <v>41</v>
      </c>
      <c r="G116" t="s">
        <v>25</v>
      </c>
      <c r="H116">
        <v>57</v>
      </c>
      <c r="I116">
        <v>150</v>
      </c>
      <c r="J116">
        <v>41</v>
      </c>
      <c r="K116">
        <v>17</v>
      </c>
      <c r="L116" t="s">
        <v>85</v>
      </c>
      <c r="M116">
        <v>1205</v>
      </c>
      <c r="N116">
        <v>1971</v>
      </c>
      <c r="O116">
        <v>1205</v>
      </c>
      <c r="P116">
        <v>27</v>
      </c>
      <c r="Q116">
        <v>1</v>
      </c>
      <c r="R116">
        <v>12.284416</v>
      </c>
      <c r="S116" t="s">
        <v>27</v>
      </c>
      <c r="T116">
        <v>4.6524000000000001E-3</v>
      </c>
      <c r="U116">
        <v>1.2216723000000001E-2</v>
      </c>
      <c r="V116">
        <v>17</v>
      </c>
      <c r="W116">
        <v>50</v>
      </c>
      <c r="X116">
        <v>71</v>
      </c>
      <c r="Y116">
        <v>41</v>
      </c>
      <c r="AC116">
        <f>U116/U117</f>
        <v>1.2031567996938317</v>
      </c>
      <c r="AD116">
        <f t="shared" ref="AD116" si="55">I116-I117</f>
        <v>19</v>
      </c>
    </row>
    <row r="117" spans="1:30" x14ac:dyDescent="0.25">
      <c r="A117">
        <v>5.8466679999999898E-3</v>
      </c>
      <c r="B117">
        <v>3.3732283464566901</v>
      </c>
      <c r="C117">
        <v>18.176469802856399</v>
      </c>
      <c r="D117">
        <v>1632</v>
      </c>
      <c r="E117">
        <v>33</v>
      </c>
      <c r="F117">
        <v>41</v>
      </c>
      <c r="G117" t="s">
        <v>25</v>
      </c>
      <c r="H117">
        <v>57</v>
      </c>
      <c r="I117">
        <v>131</v>
      </c>
      <c r="J117">
        <v>41</v>
      </c>
      <c r="K117">
        <v>22</v>
      </c>
      <c r="L117" t="s">
        <v>85</v>
      </c>
      <c r="M117">
        <v>1133</v>
      </c>
      <c r="N117">
        <v>2142</v>
      </c>
      <c r="O117">
        <v>1133</v>
      </c>
      <c r="P117">
        <v>27</v>
      </c>
      <c r="Q117">
        <v>1</v>
      </c>
      <c r="R117">
        <v>10.332929</v>
      </c>
      <c r="S117" t="s">
        <v>28</v>
      </c>
      <c r="T117">
        <v>4.307857E-3</v>
      </c>
      <c r="U117">
        <v>1.0153891E-2</v>
      </c>
      <c r="V117">
        <v>17</v>
      </c>
      <c r="W117">
        <v>49</v>
      </c>
      <c r="X117">
        <v>53</v>
      </c>
      <c r="Y117">
        <v>41</v>
      </c>
    </row>
    <row r="118" spans="1:30" x14ac:dyDescent="0.25">
      <c r="A118">
        <v>8.7476663000074895E-2</v>
      </c>
      <c r="B118">
        <v>22.559572719802699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349</v>
      </c>
      <c r="J118">
        <v>108</v>
      </c>
      <c r="K118">
        <v>189</v>
      </c>
      <c r="L118" t="s">
        <v>86</v>
      </c>
      <c r="M118">
        <v>21796</v>
      </c>
      <c r="N118">
        <v>27455</v>
      </c>
      <c r="O118">
        <v>21796</v>
      </c>
      <c r="P118">
        <v>108</v>
      </c>
      <c r="Q118">
        <v>1</v>
      </c>
      <c r="R118">
        <v>600000</v>
      </c>
      <c r="S118" t="s">
        <v>27</v>
      </c>
      <c r="T118">
        <v>613.06814992199998</v>
      </c>
      <c r="U118">
        <v>613.15562607499999</v>
      </c>
      <c r="V118">
        <v>29</v>
      </c>
      <c r="W118">
        <v>239</v>
      </c>
      <c r="X118">
        <v>0</v>
      </c>
      <c r="Y118">
        <v>146</v>
      </c>
      <c r="AC118">
        <f>U118/U119</f>
        <v>1.0136148329908392</v>
      </c>
      <c r="AD118">
        <f t="shared" ref="AD118" si="56">I118-I119</f>
        <v>23</v>
      </c>
    </row>
    <row r="119" spans="1:30" x14ac:dyDescent="0.25">
      <c r="A119">
        <v>9.0188160000025094E-2</v>
      </c>
      <c r="B119">
        <v>29.6417419884963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326</v>
      </c>
      <c r="J119">
        <v>107</v>
      </c>
      <c r="K119">
        <v>237</v>
      </c>
      <c r="L119" t="s">
        <v>86</v>
      </c>
      <c r="M119">
        <v>20316</v>
      </c>
      <c r="N119">
        <v>36074</v>
      </c>
      <c r="O119">
        <v>20316</v>
      </c>
      <c r="P119">
        <v>107</v>
      </c>
      <c r="Q119">
        <v>1</v>
      </c>
      <c r="R119">
        <v>600000</v>
      </c>
      <c r="S119" t="s">
        <v>28</v>
      </c>
      <c r="T119">
        <v>604.82955717899995</v>
      </c>
      <c r="U119">
        <v>604.91974477700001</v>
      </c>
      <c r="V119">
        <v>29</v>
      </c>
      <c r="W119">
        <v>217</v>
      </c>
      <c r="X119">
        <v>0</v>
      </c>
      <c r="Y119">
        <v>145</v>
      </c>
    </row>
    <row r="120" spans="1:30" x14ac:dyDescent="0.25">
      <c r="A120">
        <v>7.6723917999970498E-2</v>
      </c>
      <c r="B120">
        <v>21.338424437299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323</v>
      </c>
      <c r="J120">
        <v>113</v>
      </c>
      <c r="K120">
        <v>158</v>
      </c>
      <c r="L120" t="s">
        <v>87</v>
      </c>
      <c r="M120">
        <v>20643</v>
      </c>
      <c r="N120">
        <v>26545</v>
      </c>
      <c r="O120">
        <v>20643</v>
      </c>
      <c r="P120">
        <v>113</v>
      </c>
      <c r="Q120">
        <v>1</v>
      </c>
      <c r="R120">
        <v>600000</v>
      </c>
      <c r="S120" t="s">
        <v>27</v>
      </c>
      <c r="T120">
        <v>637.87429363199999</v>
      </c>
      <c r="U120">
        <v>637.95101703099999</v>
      </c>
      <c r="V120">
        <v>28</v>
      </c>
      <c r="W120">
        <v>209</v>
      </c>
      <c r="X120">
        <v>0</v>
      </c>
      <c r="Y120">
        <v>150</v>
      </c>
      <c r="AC120">
        <f>U120/U121</f>
        <v>1.0591443624957193</v>
      </c>
      <c r="AD120">
        <f t="shared" ref="AD120" si="57">I120-I121</f>
        <v>32</v>
      </c>
    </row>
    <row r="121" spans="1:30" x14ac:dyDescent="0.25">
      <c r="A121">
        <v>7.4906613999928595E-2</v>
      </c>
      <c r="B121">
        <v>26.967845659163899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291</v>
      </c>
      <c r="J121">
        <v>111</v>
      </c>
      <c r="K121">
        <v>191</v>
      </c>
      <c r="L121" t="s">
        <v>87</v>
      </c>
      <c r="M121">
        <v>18580</v>
      </c>
      <c r="N121">
        <v>33548</v>
      </c>
      <c r="O121">
        <v>18580</v>
      </c>
      <c r="P121">
        <v>111</v>
      </c>
      <c r="Q121">
        <v>1</v>
      </c>
      <c r="R121">
        <v>600000</v>
      </c>
      <c r="S121" t="s">
        <v>28</v>
      </c>
      <c r="T121">
        <v>602.25189943500004</v>
      </c>
      <c r="U121">
        <v>602.32678341200005</v>
      </c>
      <c r="V121">
        <v>28</v>
      </c>
      <c r="W121">
        <v>178</v>
      </c>
      <c r="X121">
        <v>0</v>
      </c>
      <c r="Y121">
        <v>163</v>
      </c>
    </row>
    <row r="122" spans="1:30" x14ac:dyDescent="0.25">
      <c r="A122">
        <v>1.0938322999999899E-2</v>
      </c>
      <c r="B122">
        <v>4.2523364485981299</v>
      </c>
      <c r="C122">
        <v>17.3333339691162</v>
      </c>
      <c r="D122">
        <v>2022</v>
      </c>
      <c r="E122">
        <v>25</v>
      </c>
      <c r="F122">
        <v>30</v>
      </c>
      <c r="G122" t="s">
        <v>25</v>
      </c>
      <c r="H122">
        <v>60</v>
      </c>
      <c r="I122">
        <v>183</v>
      </c>
      <c r="J122">
        <v>30</v>
      </c>
      <c r="K122">
        <v>15</v>
      </c>
      <c r="L122" t="s">
        <v>88</v>
      </c>
      <c r="M122">
        <v>1889</v>
      </c>
      <c r="N122">
        <v>2730</v>
      </c>
      <c r="O122">
        <v>1889</v>
      </c>
      <c r="P122">
        <v>30</v>
      </c>
      <c r="Q122">
        <v>1</v>
      </c>
      <c r="R122">
        <v>32.807231999999999</v>
      </c>
      <c r="S122" t="s">
        <v>27</v>
      </c>
      <c r="T122">
        <v>2.1707157000000001E-2</v>
      </c>
      <c r="U122">
        <v>3.2645037000000002E-2</v>
      </c>
      <c r="V122">
        <v>18</v>
      </c>
      <c r="W122">
        <v>64</v>
      </c>
      <c r="X122">
        <v>87</v>
      </c>
      <c r="Y122">
        <v>30</v>
      </c>
      <c r="AC122">
        <f>U122/U123</f>
        <v>0.86670286929166507</v>
      </c>
      <c r="AD122">
        <f t="shared" ref="AD122" si="58">I122-I123</f>
        <v>2</v>
      </c>
    </row>
    <row r="123" spans="1:30" x14ac:dyDescent="0.25">
      <c r="A123">
        <v>1.1395422999999899E-2</v>
      </c>
      <c r="B123">
        <v>4.6588785046728898</v>
      </c>
      <c r="C123">
        <v>17.3333339691162</v>
      </c>
      <c r="D123">
        <v>2022</v>
      </c>
      <c r="E123">
        <v>25</v>
      </c>
      <c r="F123">
        <v>30</v>
      </c>
      <c r="G123" t="s">
        <v>25</v>
      </c>
      <c r="H123">
        <v>60</v>
      </c>
      <c r="I123">
        <v>181</v>
      </c>
      <c r="J123">
        <v>30</v>
      </c>
      <c r="K123">
        <v>21</v>
      </c>
      <c r="L123" t="s">
        <v>88</v>
      </c>
      <c r="M123">
        <v>1816</v>
      </c>
      <c r="N123">
        <v>2991</v>
      </c>
      <c r="O123">
        <v>1816</v>
      </c>
      <c r="P123">
        <v>30</v>
      </c>
      <c r="Q123">
        <v>1</v>
      </c>
      <c r="R123">
        <v>37.826511000000004</v>
      </c>
      <c r="S123" t="s">
        <v>28</v>
      </c>
      <c r="T123">
        <v>2.6270986E-2</v>
      </c>
      <c r="U123">
        <v>3.7665776999999998E-2</v>
      </c>
      <c r="V123">
        <v>18</v>
      </c>
      <c r="W123">
        <v>74</v>
      </c>
      <c r="X123">
        <v>75</v>
      </c>
      <c r="Y123">
        <v>30</v>
      </c>
    </row>
    <row r="124" spans="1:30" x14ac:dyDescent="0.25">
      <c r="A124">
        <v>1.0472739999999999E-3</v>
      </c>
      <c r="B124">
        <v>1.8954248366013</v>
      </c>
      <c r="C124">
        <v>14.800000190734799</v>
      </c>
      <c r="D124">
        <v>87</v>
      </c>
      <c r="E124">
        <v>25</v>
      </c>
      <c r="F124">
        <v>29</v>
      </c>
      <c r="G124" t="s">
        <v>25</v>
      </c>
      <c r="H124">
        <v>61</v>
      </c>
      <c r="I124">
        <v>53</v>
      </c>
      <c r="J124">
        <v>29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12</v>
      </c>
      <c r="Q124">
        <v>1</v>
      </c>
      <c r="R124">
        <v>1.21912</v>
      </c>
      <c r="S124" t="s">
        <v>27</v>
      </c>
      <c r="T124">
        <v>1.4797399999999999E-4</v>
      </c>
      <c r="U124">
        <v>1.19484E-3</v>
      </c>
      <c r="V124">
        <v>5</v>
      </c>
      <c r="W124">
        <v>4</v>
      </c>
      <c r="X124">
        <v>35</v>
      </c>
      <c r="Y124">
        <v>29</v>
      </c>
      <c r="AC124">
        <f>U124/U125</f>
        <v>0.97319803933386861</v>
      </c>
      <c r="AD124">
        <f t="shared" ref="AD124" si="59">I124-I125</f>
        <v>2</v>
      </c>
    </row>
    <row r="125" spans="1:30" x14ac:dyDescent="0.25">
      <c r="A125">
        <v>1.0687259999999899E-3</v>
      </c>
      <c r="B125">
        <v>2.0588235294117601</v>
      </c>
      <c r="C125">
        <v>14.800000190734799</v>
      </c>
      <c r="D125">
        <v>87</v>
      </c>
      <c r="E125">
        <v>25</v>
      </c>
      <c r="F125">
        <v>29</v>
      </c>
      <c r="G125" t="s">
        <v>25</v>
      </c>
      <c r="H125">
        <v>61</v>
      </c>
      <c r="I125">
        <v>51</v>
      </c>
      <c r="J125">
        <v>29</v>
      </c>
      <c r="K125">
        <v>6</v>
      </c>
      <c r="L125" t="s">
        <v>89</v>
      </c>
      <c r="M125">
        <v>118</v>
      </c>
      <c r="N125">
        <v>315</v>
      </c>
      <c r="O125">
        <v>118</v>
      </c>
      <c r="P125">
        <v>12</v>
      </c>
      <c r="Q125">
        <v>1</v>
      </c>
      <c r="R125">
        <v>1.2738670000000001</v>
      </c>
      <c r="S125" t="s">
        <v>28</v>
      </c>
      <c r="T125">
        <v>1.5939599999999999E-4</v>
      </c>
      <c r="U125">
        <v>1.227746E-3</v>
      </c>
      <c r="V125">
        <v>5</v>
      </c>
      <c r="W125">
        <v>6</v>
      </c>
      <c r="X125">
        <v>31</v>
      </c>
      <c r="Y125">
        <v>29</v>
      </c>
    </row>
    <row r="126" spans="1:30" x14ac:dyDescent="0.25">
      <c r="A126">
        <v>1.637641E-3</v>
      </c>
      <c r="B126">
        <v>2.6994219653179101</v>
      </c>
      <c r="C126">
        <v>16.799999237060501</v>
      </c>
      <c r="D126">
        <v>136</v>
      </c>
      <c r="E126">
        <v>20</v>
      </c>
      <c r="F126">
        <v>6</v>
      </c>
      <c r="G126" t="s">
        <v>25</v>
      </c>
      <c r="H126">
        <v>62</v>
      </c>
      <c r="I126">
        <v>74</v>
      </c>
      <c r="J126">
        <v>6</v>
      </c>
      <c r="K126">
        <v>7</v>
      </c>
      <c r="L126" t="s">
        <v>90</v>
      </c>
      <c r="M126">
        <v>268</v>
      </c>
      <c r="N126">
        <v>467</v>
      </c>
      <c r="O126">
        <v>268</v>
      </c>
      <c r="P126">
        <v>6</v>
      </c>
      <c r="Q126">
        <v>1</v>
      </c>
      <c r="R126">
        <v>2.0164439999999999</v>
      </c>
      <c r="S126" t="s">
        <v>27</v>
      </c>
      <c r="T126">
        <v>3.48062E-4</v>
      </c>
      <c r="U126">
        <v>1.9851830000000002E-3</v>
      </c>
      <c r="V126">
        <v>5</v>
      </c>
      <c r="W126">
        <v>10</v>
      </c>
      <c r="X126">
        <v>56</v>
      </c>
      <c r="Y126">
        <v>6</v>
      </c>
      <c r="AC126">
        <f>U126/U127</f>
        <v>1.2560943432877281</v>
      </c>
      <c r="AD126">
        <f t="shared" ref="AD126" si="60">I126-I127</f>
        <v>10</v>
      </c>
    </row>
    <row r="127" spans="1:30" x14ac:dyDescent="0.25">
      <c r="A127">
        <v>1.344238E-3</v>
      </c>
      <c r="B127">
        <v>2.4855491329479702</v>
      </c>
      <c r="C127">
        <v>16.799999237060501</v>
      </c>
      <c r="D127">
        <v>136</v>
      </c>
      <c r="E127">
        <v>20</v>
      </c>
      <c r="F127">
        <v>6</v>
      </c>
      <c r="G127" t="s">
        <v>25</v>
      </c>
      <c r="H127">
        <v>62</v>
      </c>
      <c r="I127">
        <v>64</v>
      </c>
      <c r="J127">
        <v>6</v>
      </c>
      <c r="K127">
        <v>6</v>
      </c>
      <c r="L127" t="s">
        <v>90</v>
      </c>
      <c r="M127">
        <v>217</v>
      </c>
      <c r="N127">
        <v>430</v>
      </c>
      <c r="O127">
        <v>217</v>
      </c>
      <c r="P127">
        <v>6</v>
      </c>
      <c r="Q127">
        <v>1</v>
      </c>
      <c r="R127">
        <v>1.618174</v>
      </c>
      <c r="S127" t="s">
        <v>28</v>
      </c>
      <c r="T127">
        <v>2.3664899999999999E-4</v>
      </c>
      <c r="U127">
        <v>1.5804409999999999E-3</v>
      </c>
      <c r="V127">
        <v>5</v>
      </c>
      <c r="W127">
        <v>5</v>
      </c>
      <c r="X127">
        <v>51</v>
      </c>
      <c r="Y127">
        <v>6</v>
      </c>
    </row>
    <row r="128" spans="1:30" x14ac:dyDescent="0.25">
      <c r="A128">
        <v>1.0192737999999899E-2</v>
      </c>
      <c r="B128">
        <v>4.2689969604863203</v>
      </c>
      <c r="C128">
        <v>15.949999809265099</v>
      </c>
      <c r="D128">
        <v>2246</v>
      </c>
      <c r="E128">
        <v>25</v>
      </c>
      <c r="F128">
        <v>355</v>
      </c>
      <c r="G128" t="s">
        <v>25</v>
      </c>
      <c r="H128">
        <v>63</v>
      </c>
      <c r="I128">
        <v>166</v>
      </c>
      <c r="J128">
        <v>355</v>
      </c>
      <c r="K128">
        <v>16</v>
      </c>
      <c r="L128" t="s">
        <v>91</v>
      </c>
      <c r="M128">
        <v>1937</v>
      </c>
      <c r="N128">
        <v>2809</v>
      </c>
      <c r="O128">
        <v>1937</v>
      </c>
      <c r="P128">
        <v>34</v>
      </c>
      <c r="Q128">
        <v>1</v>
      </c>
      <c r="R128">
        <v>22.593910999999999</v>
      </c>
      <c r="S128" t="s">
        <v>27</v>
      </c>
      <c r="T128">
        <v>1.2276474000000001E-2</v>
      </c>
      <c r="U128">
        <v>2.2468700000000001E-2</v>
      </c>
      <c r="V128">
        <v>20</v>
      </c>
      <c r="W128">
        <v>66</v>
      </c>
      <c r="X128">
        <v>64</v>
      </c>
      <c r="Y128">
        <v>355</v>
      </c>
      <c r="AC128">
        <f>U128/U129</f>
        <v>0.77760834602341067</v>
      </c>
      <c r="AD128">
        <f t="shared" ref="AD128" si="61">I128-I129</f>
        <v>-1</v>
      </c>
    </row>
    <row r="129" spans="1:30" x14ac:dyDescent="0.25">
      <c r="A129">
        <v>1.0075641999999999E-2</v>
      </c>
      <c r="B129">
        <v>5.0683890577507498</v>
      </c>
      <c r="C129">
        <v>15.949999809265099</v>
      </c>
      <c r="D129">
        <v>2246</v>
      </c>
      <c r="E129">
        <v>25</v>
      </c>
      <c r="F129">
        <v>355</v>
      </c>
      <c r="G129" t="s">
        <v>25</v>
      </c>
      <c r="H129">
        <v>63</v>
      </c>
      <c r="I129">
        <v>167</v>
      </c>
      <c r="J129">
        <v>355</v>
      </c>
      <c r="K129">
        <v>20</v>
      </c>
      <c r="L129" t="s">
        <v>91</v>
      </c>
      <c r="M129">
        <v>2015</v>
      </c>
      <c r="N129">
        <v>3335</v>
      </c>
      <c r="O129">
        <v>2015</v>
      </c>
      <c r="P129">
        <v>34</v>
      </c>
      <c r="Q129">
        <v>2</v>
      </c>
      <c r="R129">
        <v>29.062563999999998</v>
      </c>
      <c r="S129" t="s">
        <v>28</v>
      </c>
      <c r="T129">
        <v>1.8819687000000002E-2</v>
      </c>
      <c r="U129">
        <v>2.8894623000000001E-2</v>
      </c>
      <c r="V129">
        <v>20</v>
      </c>
      <c r="W129">
        <v>67</v>
      </c>
      <c r="X129">
        <v>63</v>
      </c>
      <c r="Y129">
        <v>355</v>
      </c>
    </row>
    <row r="130" spans="1:30" x14ac:dyDescent="0.25">
      <c r="A130">
        <v>2.1395149999999998E-3</v>
      </c>
      <c r="B130">
        <v>4.2076502732240399</v>
      </c>
      <c r="C130">
        <v>17.799999237060501</v>
      </c>
      <c r="D130">
        <v>136</v>
      </c>
      <c r="E130">
        <v>25</v>
      </c>
      <c r="F130">
        <v>10</v>
      </c>
      <c r="G130" t="s">
        <v>25</v>
      </c>
      <c r="H130">
        <v>64</v>
      </c>
      <c r="I130">
        <v>84</v>
      </c>
      <c r="J130">
        <v>10</v>
      </c>
      <c r="K130">
        <v>17</v>
      </c>
      <c r="L130" t="s">
        <v>92</v>
      </c>
      <c r="M130">
        <v>539</v>
      </c>
      <c r="N130">
        <v>770</v>
      </c>
      <c r="O130">
        <v>539</v>
      </c>
      <c r="P130">
        <v>10</v>
      </c>
      <c r="Q130">
        <v>1</v>
      </c>
      <c r="R130">
        <v>3.0549400000000002</v>
      </c>
      <c r="S130" t="s">
        <v>27</v>
      </c>
      <c r="T130">
        <v>8.9150600000000003E-4</v>
      </c>
      <c r="U130">
        <v>3.0303790000000001E-3</v>
      </c>
      <c r="V130">
        <v>5</v>
      </c>
      <c r="W130">
        <v>39</v>
      </c>
      <c r="X130">
        <v>35</v>
      </c>
      <c r="Y130">
        <v>10</v>
      </c>
      <c r="AC130">
        <f>U130/U131</f>
        <v>1.195963988226556</v>
      </c>
      <c r="AD130">
        <f t="shared" ref="AD130" si="62">I130-I131</f>
        <v>12</v>
      </c>
    </row>
    <row r="131" spans="1:30" x14ac:dyDescent="0.25">
      <c r="A131">
        <v>1.840382E-3</v>
      </c>
      <c r="B131">
        <v>4.1803278688524497</v>
      </c>
      <c r="C131">
        <v>17.799999237060501</v>
      </c>
      <c r="D131">
        <v>136</v>
      </c>
      <c r="E131">
        <v>25</v>
      </c>
      <c r="F131">
        <v>10</v>
      </c>
      <c r="G131" t="s">
        <v>25</v>
      </c>
      <c r="H131">
        <v>64</v>
      </c>
      <c r="I131">
        <v>72</v>
      </c>
      <c r="J131">
        <v>10</v>
      </c>
      <c r="K131">
        <v>15</v>
      </c>
      <c r="L131" t="s">
        <v>92</v>
      </c>
      <c r="M131">
        <v>455</v>
      </c>
      <c r="N131">
        <v>765</v>
      </c>
      <c r="O131">
        <v>455</v>
      </c>
      <c r="P131">
        <v>10</v>
      </c>
      <c r="Q131">
        <v>1</v>
      </c>
      <c r="R131">
        <v>2.5606909999999998</v>
      </c>
      <c r="S131" t="s">
        <v>28</v>
      </c>
      <c r="T131">
        <v>6.9391799999999997E-4</v>
      </c>
      <c r="U131">
        <v>2.5338380000000001E-3</v>
      </c>
      <c r="V131">
        <v>5</v>
      </c>
      <c r="W131">
        <v>30</v>
      </c>
      <c r="X131">
        <v>32</v>
      </c>
      <c r="Y131">
        <v>10</v>
      </c>
    </row>
    <row r="132" spans="1:30" x14ac:dyDescent="0.25">
      <c r="A132">
        <v>8.7874399999999999E-4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0.99121499999999996</v>
      </c>
      <c r="S132" t="s">
        <v>27</v>
      </c>
      <c r="T132" s="1">
        <v>8.8103000000000007E-5</v>
      </c>
      <c r="U132">
        <v>9.6646600000000003E-4</v>
      </c>
      <c r="V132">
        <v>5</v>
      </c>
      <c r="W132">
        <v>3</v>
      </c>
      <c r="X132">
        <v>36</v>
      </c>
      <c r="Y132">
        <v>5</v>
      </c>
      <c r="AC132">
        <f>U132/U133</f>
        <v>0.91814756618210069</v>
      </c>
      <c r="AD132">
        <f t="shared" ref="AD132" si="63">I132-I133</f>
        <v>-3</v>
      </c>
    </row>
    <row r="133" spans="1:30" x14ac:dyDescent="0.25">
      <c r="A133">
        <v>9.5461199999999997E-4</v>
      </c>
      <c r="B133">
        <v>1.9617834394904401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49</v>
      </c>
      <c r="J133">
        <v>5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1.0956570000000001</v>
      </c>
      <c r="S133" t="s">
        <v>28</v>
      </c>
      <c r="T133" s="1">
        <v>9.8414999999999999E-5</v>
      </c>
      <c r="U133">
        <v>1.0526260000000001E-3</v>
      </c>
      <c r="V133">
        <v>5</v>
      </c>
      <c r="W133">
        <v>2</v>
      </c>
      <c r="X133">
        <v>40</v>
      </c>
      <c r="Y133">
        <v>5</v>
      </c>
    </row>
    <row r="134" spans="1:30" x14ac:dyDescent="0.25">
      <c r="A134">
        <v>1.07053959999999E-2</v>
      </c>
      <c r="B134">
        <v>4.7764550264550198</v>
      </c>
      <c r="C134">
        <v>15.25</v>
      </c>
      <c r="D134">
        <v>2865</v>
      </c>
      <c r="E134">
        <v>25</v>
      </c>
      <c r="F134">
        <v>339</v>
      </c>
      <c r="G134" t="s">
        <v>25</v>
      </c>
      <c r="H134">
        <v>66</v>
      </c>
      <c r="I134">
        <v>147</v>
      </c>
      <c r="J134">
        <v>339</v>
      </c>
      <c r="K134">
        <v>19</v>
      </c>
      <c r="L134" t="s">
        <v>94</v>
      </c>
      <c r="M134">
        <v>2530</v>
      </c>
      <c r="N134">
        <v>3611</v>
      </c>
      <c r="O134">
        <v>2530</v>
      </c>
      <c r="P134">
        <v>42</v>
      </c>
      <c r="Q134">
        <v>1</v>
      </c>
      <c r="R134">
        <v>35.626099000000004</v>
      </c>
      <c r="S134" t="s">
        <v>27</v>
      </c>
      <c r="T134">
        <v>2.4773470999999998E-2</v>
      </c>
      <c r="U134">
        <v>3.5478381000000003E-2</v>
      </c>
      <c r="V134">
        <v>24</v>
      </c>
      <c r="W134">
        <v>76</v>
      </c>
      <c r="X134">
        <v>27</v>
      </c>
      <c r="Y134">
        <v>339</v>
      </c>
      <c r="AC134">
        <f>U134/U135</f>
        <v>1.1115037998058981</v>
      </c>
      <c r="AD134">
        <f t="shared" ref="AD134" si="64">I134-I135</f>
        <v>-5</v>
      </c>
    </row>
    <row r="135" spans="1:30" x14ac:dyDescent="0.25">
      <c r="A135">
        <v>1.1608057E-2</v>
      </c>
      <c r="B135">
        <v>4.68386243386243</v>
      </c>
      <c r="C135">
        <v>15.25</v>
      </c>
      <c r="D135">
        <v>2865</v>
      </c>
      <c r="E135">
        <v>25</v>
      </c>
      <c r="F135">
        <v>339</v>
      </c>
      <c r="G135" t="s">
        <v>25</v>
      </c>
      <c r="H135">
        <v>66</v>
      </c>
      <c r="I135">
        <v>152</v>
      </c>
      <c r="J135">
        <v>339</v>
      </c>
      <c r="K135">
        <v>19</v>
      </c>
      <c r="L135" t="s">
        <v>94</v>
      </c>
      <c r="M135">
        <v>2100</v>
      </c>
      <c r="N135">
        <v>3541</v>
      </c>
      <c r="O135">
        <v>2100</v>
      </c>
      <c r="P135">
        <v>42</v>
      </c>
      <c r="Q135">
        <v>1</v>
      </c>
      <c r="R135">
        <v>32.108970999999997</v>
      </c>
      <c r="S135" t="s">
        <v>28</v>
      </c>
      <c r="T135">
        <v>2.0311673999999998E-2</v>
      </c>
      <c r="U135">
        <v>3.1919261999999997E-2</v>
      </c>
      <c r="V135">
        <v>24</v>
      </c>
      <c r="W135">
        <v>62</v>
      </c>
      <c r="X135">
        <v>48</v>
      </c>
      <c r="Y135">
        <v>339</v>
      </c>
    </row>
    <row r="136" spans="1:30" x14ac:dyDescent="0.25">
      <c r="A136">
        <v>1.6536890000000001E-3</v>
      </c>
      <c r="B136">
        <v>2.4172661870503598</v>
      </c>
      <c r="C136">
        <v>13.399999618530201</v>
      </c>
      <c r="D136">
        <v>72</v>
      </c>
      <c r="E136">
        <v>25</v>
      </c>
      <c r="F136">
        <v>16</v>
      </c>
      <c r="G136" t="s">
        <v>25</v>
      </c>
      <c r="H136">
        <v>67</v>
      </c>
      <c r="I136">
        <v>97</v>
      </c>
      <c r="J136">
        <v>16</v>
      </c>
      <c r="K136">
        <v>6</v>
      </c>
      <c r="L136" t="s">
        <v>95</v>
      </c>
      <c r="M136">
        <v>179</v>
      </c>
      <c r="N136">
        <v>336</v>
      </c>
      <c r="O136">
        <v>179</v>
      </c>
      <c r="P136">
        <v>16</v>
      </c>
      <c r="Q136">
        <v>2</v>
      </c>
      <c r="R136">
        <v>1.97048</v>
      </c>
      <c r="S136" t="s">
        <v>27</v>
      </c>
      <c r="T136">
        <v>2.95051E-4</v>
      </c>
      <c r="U136">
        <v>1.9481629999999999E-3</v>
      </c>
      <c r="V136">
        <v>5</v>
      </c>
      <c r="W136">
        <v>5</v>
      </c>
      <c r="X136">
        <v>75</v>
      </c>
      <c r="Y136">
        <v>16</v>
      </c>
      <c r="AC136">
        <f>U136/U137</f>
        <v>0.97637794091703678</v>
      </c>
      <c r="AD136">
        <f t="shared" ref="AD136" si="65">I136-I137</f>
        <v>10</v>
      </c>
    </row>
    <row r="137" spans="1:30" x14ac:dyDescent="0.25">
      <c r="A137">
        <v>1.7221529999999999E-3</v>
      </c>
      <c r="B137">
        <v>2.5611510791366898</v>
      </c>
      <c r="C137">
        <v>13.399999618530201</v>
      </c>
      <c r="D137">
        <v>72</v>
      </c>
      <c r="E137">
        <v>25</v>
      </c>
      <c r="F137">
        <v>16</v>
      </c>
      <c r="G137" t="s">
        <v>25</v>
      </c>
      <c r="H137">
        <v>67</v>
      </c>
      <c r="I137">
        <v>87</v>
      </c>
      <c r="J137">
        <v>16</v>
      </c>
      <c r="K137">
        <v>7</v>
      </c>
      <c r="L137" t="s">
        <v>95</v>
      </c>
      <c r="M137">
        <v>171</v>
      </c>
      <c r="N137">
        <v>356</v>
      </c>
      <c r="O137">
        <v>171</v>
      </c>
      <c r="P137">
        <v>16</v>
      </c>
      <c r="Q137">
        <v>2</v>
      </c>
      <c r="R137">
        <v>2.0241720000000001</v>
      </c>
      <c r="S137" t="s">
        <v>28</v>
      </c>
      <c r="T137">
        <v>2.7354099999999998E-4</v>
      </c>
      <c r="U137">
        <v>1.9952960000000001E-3</v>
      </c>
      <c r="V137">
        <v>5</v>
      </c>
      <c r="W137">
        <v>7</v>
      </c>
      <c r="X137">
        <v>63</v>
      </c>
      <c r="Y137">
        <v>16</v>
      </c>
    </row>
    <row r="138" spans="1:30" x14ac:dyDescent="0.25">
      <c r="A138">
        <v>1.7769249999999999E-3</v>
      </c>
      <c r="B138">
        <v>3.13197969543147</v>
      </c>
      <c r="C138">
        <v>13.571428298950099</v>
      </c>
      <c r="D138">
        <v>150</v>
      </c>
      <c r="E138">
        <v>25</v>
      </c>
      <c r="F138">
        <v>70</v>
      </c>
      <c r="G138" t="s">
        <v>25</v>
      </c>
      <c r="H138">
        <v>68</v>
      </c>
      <c r="I138">
        <v>74</v>
      </c>
      <c r="J138">
        <v>70</v>
      </c>
      <c r="K138">
        <v>10</v>
      </c>
      <c r="L138" t="s">
        <v>96</v>
      </c>
      <c r="M138">
        <v>361</v>
      </c>
      <c r="N138">
        <v>617</v>
      </c>
      <c r="O138">
        <v>361</v>
      </c>
      <c r="P138">
        <v>16</v>
      </c>
      <c r="Q138">
        <v>1</v>
      </c>
      <c r="R138">
        <v>2.2420330000000002</v>
      </c>
      <c r="S138" t="s">
        <v>27</v>
      </c>
      <c r="T138">
        <v>4.4776100000000002E-4</v>
      </c>
      <c r="U138">
        <v>2.224256E-3</v>
      </c>
      <c r="V138">
        <v>7</v>
      </c>
      <c r="W138">
        <v>30</v>
      </c>
      <c r="X138">
        <v>28</v>
      </c>
      <c r="Y138">
        <v>70</v>
      </c>
      <c r="AC138">
        <f>U138/U139</f>
        <v>0.96956255268992131</v>
      </c>
      <c r="AD138">
        <f t="shared" ref="AD138" si="66">I138-I139</f>
        <v>-2</v>
      </c>
    </row>
    <row r="139" spans="1:30" x14ac:dyDescent="0.25">
      <c r="A139">
        <v>1.8267359999999901E-3</v>
      </c>
      <c r="B139">
        <v>3.2639593908629401</v>
      </c>
      <c r="C139">
        <v>13.571428298950099</v>
      </c>
      <c r="D139">
        <v>150</v>
      </c>
      <c r="E139">
        <v>25</v>
      </c>
      <c r="F139">
        <v>70</v>
      </c>
      <c r="G139" t="s">
        <v>25</v>
      </c>
      <c r="H139">
        <v>68</v>
      </c>
      <c r="I139">
        <v>76</v>
      </c>
      <c r="J139">
        <v>70</v>
      </c>
      <c r="K139">
        <v>9</v>
      </c>
      <c r="L139" t="s">
        <v>96</v>
      </c>
      <c r="M139">
        <v>307</v>
      </c>
      <c r="N139">
        <v>643</v>
      </c>
      <c r="O139">
        <v>307</v>
      </c>
      <c r="P139">
        <v>16</v>
      </c>
      <c r="Q139">
        <v>1</v>
      </c>
      <c r="R139">
        <v>2.333075</v>
      </c>
      <c r="S139" t="s">
        <v>28</v>
      </c>
      <c r="T139">
        <v>4.6787400000000001E-4</v>
      </c>
      <c r="U139">
        <v>2.2940819999999998E-3</v>
      </c>
      <c r="V139">
        <v>7</v>
      </c>
      <c r="W139">
        <v>26</v>
      </c>
      <c r="X139">
        <v>34</v>
      </c>
      <c r="Y139">
        <v>70</v>
      </c>
    </row>
    <row r="140" spans="1:30" x14ac:dyDescent="0.25">
      <c r="A140">
        <v>8.7086499999999996E-4</v>
      </c>
      <c r="B140">
        <v>1.5454545454545401</v>
      </c>
      <c r="C140">
        <v>12.857142448425201</v>
      </c>
      <c r="D140">
        <v>126</v>
      </c>
      <c r="E140">
        <v>25</v>
      </c>
      <c r="F140">
        <v>53</v>
      </c>
      <c r="G140" t="s">
        <v>25</v>
      </c>
      <c r="H140">
        <v>69</v>
      </c>
      <c r="I140">
        <v>52</v>
      </c>
      <c r="J140">
        <v>53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11</v>
      </c>
      <c r="Q140">
        <v>1</v>
      </c>
      <c r="R140">
        <v>0.98218499999999997</v>
      </c>
      <c r="S140" t="s">
        <v>27</v>
      </c>
      <c r="T140" s="1">
        <v>8.2398000000000006E-5</v>
      </c>
      <c r="U140">
        <v>9.5284299999999998E-4</v>
      </c>
      <c r="V140">
        <v>7</v>
      </c>
      <c r="W140">
        <v>3</v>
      </c>
      <c r="X140">
        <v>36</v>
      </c>
      <c r="Y140">
        <v>53</v>
      </c>
      <c r="AC140">
        <f>U140/U141</f>
        <v>0.99688331090935334</v>
      </c>
      <c r="AD140">
        <f t="shared" ref="AD140" si="67">I140-I141</f>
        <v>2</v>
      </c>
    </row>
    <row r="141" spans="1:30" x14ac:dyDescent="0.25">
      <c r="A141">
        <v>8.66488E-4</v>
      </c>
      <c r="B141">
        <v>1.6256684491978599</v>
      </c>
      <c r="C141">
        <v>12.857142448425201</v>
      </c>
      <c r="D141">
        <v>126</v>
      </c>
      <c r="E141">
        <v>25</v>
      </c>
      <c r="F141">
        <v>53</v>
      </c>
      <c r="G141" t="s">
        <v>25</v>
      </c>
      <c r="H141">
        <v>69</v>
      </c>
      <c r="I141">
        <v>50</v>
      </c>
      <c r="J141">
        <v>53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11</v>
      </c>
      <c r="Q141">
        <v>1</v>
      </c>
      <c r="R141">
        <v>1.009436</v>
      </c>
      <c r="S141" t="s">
        <v>28</v>
      </c>
      <c r="T141" s="1">
        <v>8.9673999999999996E-5</v>
      </c>
      <c r="U141">
        <v>9.5582200000000005E-4</v>
      </c>
      <c r="V141">
        <v>7</v>
      </c>
      <c r="W141">
        <v>3</v>
      </c>
      <c r="X141">
        <v>34</v>
      </c>
      <c r="Y141">
        <v>53</v>
      </c>
    </row>
    <row r="142" spans="1:30" x14ac:dyDescent="0.25">
      <c r="A142">
        <v>1.0988832E-2</v>
      </c>
      <c r="B142">
        <v>4.6691823899370997</v>
      </c>
      <c r="C142">
        <v>15.399999618530201</v>
      </c>
      <c r="D142">
        <v>3202</v>
      </c>
      <c r="E142">
        <v>25</v>
      </c>
      <c r="F142">
        <v>415</v>
      </c>
      <c r="G142" t="s">
        <v>25</v>
      </c>
      <c r="H142">
        <v>70</v>
      </c>
      <c r="I142">
        <v>142</v>
      </c>
      <c r="J142">
        <v>415</v>
      </c>
      <c r="K142">
        <v>18</v>
      </c>
      <c r="L142" t="s">
        <v>98</v>
      </c>
      <c r="M142">
        <v>2630</v>
      </c>
      <c r="N142">
        <v>3712</v>
      </c>
      <c r="O142">
        <v>2630</v>
      </c>
      <c r="P142">
        <v>46</v>
      </c>
      <c r="Q142">
        <v>1</v>
      </c>
      <c r="R142">
        <v>33.384090999999998</v>
      </c>
      <c r="S142" t="s">
        <v>27</v>
      </c>
      <c r="T142">
        <v>2.2233798999999999E-2</v>
      </c>
      <c r="U142">
        <v>3.3222155000000003E-2</v>
      </c>
      <c r="V142">
        <v>25</v>
      </c>
      <c r="W142">
        <v>76</v>
      </c>
      <c r="X142">
        <v>18</v>
      </c>
      <c r="Y142">
        <v>415</v>
      </c>
      <c r="AC142">
        <f>U142/U143</f>
        <v>0.81059017384445453</v>
      </c>
      <c r="AD142">
        <f t="shared" ref="AD142" si="68">I142-I143</f>
        <v>-10</v>
      </c>
    </row>
    <row r="143" spans="1:30" x14ac:dyDescent="0.25">
      <c r="A143">
        <v>1.1842561999999999E-2</v>
      </c>
      <c r="B143">
        <v>5.03522012578616</v>
      </c>
      <c r="C143">
        <v>15.399999618530201</v>
      </c>
      <c r="D143">
        <v>3202</v>
      </c>
      <c r="E143">
        <v>25</v>
      </c>
      <c r="F143">
        <v>415</v>
      </c>
      <c r="G143" t="s">
        <v>25</v>
      </c>
      <c r="H143">
        <v>70</v>
      </c>
      <c r="I143">
        <v>152</v>
      </c>
      <c r="J143">
        <v>415</v>
      </c>
      <c r="K143">
        <v>23</v>
      </c>
      <c r="L143" t="s">
        <v>98</v>
      </c>
      <c r="M143">
        <v>2368</v>
      </c>
      <c r="N143">
        <v>4003</v>
      </c>
      <c r="O143">
        <v>2368</v>
      </c>
      <c r="P143">
        <v>46</v>
      </c>
      <c r="Q143">
        <v>1</v>
      </c>
      <c r="R143">
        <v>41.181339999999999</v>
      </c>
      <c r="S143" t="s">
        <v>28</v>
      </c>
      <c r="T143">
        <v>2.9143123E-2</v>
      </c>
      <c r="U143">
        <v>4.0985144000000001E-2</v>
      </c>
      <c r="V143">
        <v>25</v>
      </c>
      <c r="W143">
        <v>84</v>
      </c>
      <c r="X143">
        <v>20</v>
      </c>
      <c r="Y143">
        <v>415</v>
      </c>
    </row>
    <row r="144" spans="1:30" x14ac:dyDescent="0.25">
      <c r="A144">
        <v>5.84853299999999E-3</v>
      </c>
      <c r="B144">
        <v>3.9978632478632399</v>
      </c>
      <c r="C144">
        <v>16.214284896850501</v>
      </c>
      <c r="D144">
        <v>970</v>
      </c>
      <c r="E144">
        <v>25</v>
      </c>
      <c r="F144">
        <v>98</v>
      </c>
      <c r="G144" t="s">
        <v>25</v>
      </c>
      <c r="H144">
        <v>71</v>
      </c>
      <c r="I144">
        <v>150</v>
      </c>
      <c r="J144">
        <v>98</v>
      </c>
      <c r="K144">
        <v>25</v>
      </c>
      <c r="L144" t="s">
        <v>99</v>
      </c>
      <c r="M144">
        <v>1228</v>
      </c>
      <c r="N144">
        <v>1871</v>
      </c>
      <c r="O144">
        <v>1228</v>
      </c>
      <c r="P144">
        <v>61</v>
      </c>
      <c r="Q144">
        <v>1</v>
      </c>
      <c r="R144">
        <v>31.921120999999999</v>
      </c>
      <c r="S144" t="s">
        <v>27</v>
      </c>
      <c r="T144">
        <v>2.5963401000000001E-2</v>
      </c>
      <c r="U144">
        <v>3.1811453000000003E-2</v>
      </c>
      <c r="V144">
        <v>14</v>
      </c>
      <c r="W144">
        <v>57</v>
      </c>
      <c r="X144">
        <v>30</v>
      </c>
      <c r="Y144">
        <v>98</v>
      </c>
      <c r="AC144">
        <f>U144/U145</f>
        <v>0.66835043645429004</v>
      </c>
      <c r="AD144">
        <f t="shared" ref="AD144" si="69">I144-I145</f>
        <v>-7</v>
      </c>
    </row>
    <row r="145" spans="1:25" x14ac:dyDescent="0.25">
      <c r="A145">
        <v>6.2961700000000002E-3</v>
      </c>
      <c r="B145">
        <v>4.4914529914529897</v>
      </c>
      <c r="C145">
        <v>16.214284896850501</v>
      </c>
      <c r="D145">
        <v>970</v>
      </c>
      <c r="E145">
        <v>25</v>
      </c>
      <c r="F145">
        <v>98</v>
      </c>
      <c r="G145" t="s">
        <v>25</v>
      </c>
      <c r="H145">
        <v>71</v>
      </c>
      <c r="I145">
        <v>157</v>
      </c>
      <c r="J145">
        <v>98</v>
      </c>
      <c r="K145">
        <v>25</v>
      </c>
      <c r="L145" t="s">
        <v>99</v>
      </c>
      <c r="M145">
        <v>1063</v>
      </c>
      <c r="N145">
        <v>2102</v>
      </c>
      <c r="O145">
        <v>1063</v>
      </c>
      <c r="P145">
        <v>73</v>
      </c>
      <c r="Q145">
        <v>1</v>
      </c>
      <c r="R145">
        <v>47.762825999999997</v>
      </c>
      <c r="S145" t="s">
        <v>28</v>
      </c>
      <c r="T145">
        <v>4.1301277999999997E-2</v>
      </c>
      <c r="U145">
        <v>4.7596965999999997E-2</v>
      </c>
      <c r="V145">
        <v>14</v>
      </c>
      <c r="W145">
        <v>50</v>
      </c>
      <c r="X145">
        <v>32</v>
      </c>
      <c r="Y145">
        <v>98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2026-01-19T11:11:31Z</dcterms:created>
  <dcterms:modified xsi:type="dcterms:W3CDTF">2026-01-19T11:17:12Z</dcterms:modified>
</cp:coreProperties>
</file>