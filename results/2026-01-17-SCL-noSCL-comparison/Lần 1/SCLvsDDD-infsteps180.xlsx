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vs_scl_infsteps180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1" l="1"/>
  <c r="AJ3" i="1" l="1"/>
  <c r="AH3" i="1"/>
  <c r="AI3" i="1"/>
  <c r="AG3" i="1"/>
  <c r="AF3" i="1"/>
  <c r="AD144" i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infsteps180" type="6" refreshedVersion="5" background="1" saveData="1">
    <textPr codePage="437" sourceFile="D:\github\maxsattrainscheduling\results_maxsat_ddd_vs_scl-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<sst xmlns="http://schemas.openxmlformats.org/spreadsheetml/2006/main" count="468" uniqueCount="107">
  <si>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</si>
  <si>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</si>
  <si>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</si>
  <si>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</si>
  <si>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</si>
  <si>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</si>
  <si>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</si>
  <si>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</si>
  <si>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</si>
  <si>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</si>
  <si>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</si>
  <si>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</si>
  <si>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</si>
  <si>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</si>
  <si>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</si>
  <si>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</si>
  <si>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</si>
  <si>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</si>
  <si>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</si>
  <si>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</si>
  <si>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</si>
  <si>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</si>
  <si>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</si>
  <si>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</si>
  <si>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</si>
  <si>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</si>
  <si>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</si>
  <si>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</si>
  <si>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</si>
  <si>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</si>
  <si>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</si>
  <si>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</si>
  <si>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</si>
  <si>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</si>
  <si>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</si>
  <si>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</si>
  <si>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</si>
  <si>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</si>
  <si>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</si>
  <si>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</si>
  <si>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</si>
  <si>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</si>
  <si>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</si>
  <si>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</si>
  <si>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</si>
  <si>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</si>
  <si>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</si>
  <si>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</si>
  <si>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</si>
  <si>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</si>
  <si>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</si>
  <si>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</si>
  <si>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</si>
  <si>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</si>
  <si>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</si>
  <si>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</si>
  <si>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</si>
  <si>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</si>
  <si>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</si>
  <si>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</si>
  <si>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</si>
  <si>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</si>
  <si>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</si>
  <si>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</si>
  <si>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</si>
  <si>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</si>
  <si>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</si>
  <si>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</si>
  <si>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</si>
  <si>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</si>
  <si>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</si>
  <si>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</si>
  <si>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</si>
  <si>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</si>
  <si>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</si>
  <si>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</si>
  <si>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</si>
  <si>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</si>
  <si>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</si>
  <si>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</si>
  <si>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</si>
  <si>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</si>
  <si>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</si>
  <si>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</si>
  <si>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</si>
  <si>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</si>
  <si>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</si>
  <si>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</si>
  <si>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</si>
  <si>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</si>
  <si>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</si>
  <si>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</si>
  <si>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</si>
  <si>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</si>
  <si>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</si>
  <si>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</si>
  <si>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</si>
  <si>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</si>
  <si>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</si>
  <si>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</si>
  <si>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</si>
  <si>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</si>
  <si>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</si>
  <si>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</si>
  <si>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RC2</t>
  </si>
  <si>
    <t>SCL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</si>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</sst>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O88" zoomScale="205" zoomScaleNormal="205" workbookViewId="0">
      <selection activeCell="Q114" sqref="Q11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11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7.3113158096388879</v>
      </c>
      <c r="AB1">
        <f>AVERAGEIF(S:S, "MaxSatDddLadderSCL",U:U )</f>
        <v>7.544601572027779</v>
      </c>
      <c r="AC1" t="s">
        <v>100</v>
      </c>
      <c r="AD1" t="s">
        <v>101</v>
      </c>
      <c r="AE1" s="5" t="s">
        <v>102</v>
      </c>
      <c r="AF1" s="5"/>
      <c r="AG1" s="5" t="s">
        <v>103</v>
      </c>
      <c r="AH1" s="5"/>
      <c r="AI1" s="5" t="s">
        <v>106</v>
      </c>
      <c r="AJ1" s="5"/>
    </row>
    <row r="2" spans="1:36" s="2" customFormat="1" x14ac:dyDescent="0.25">
      <c r="A2" s="2">
        <v>7.649599E-3</v>
      </c>
      <c r="B2" s="2">
        <v>1.78519710378117</v>
      </c>
      <c r="C2" s="2">
        <v>20.931034088134702</v>
      </c>
      <c r="D2" s="2">
        <v>5915</v>
      </c>
      <c r="E2" s="2">
        <v>33</v>
      </c>
      <c r="F2" s="2">
        <v>34</v>
      </c>
      <c r="G2" s="2" t="s">
        <v>25</v>
      </c>
      <c r="H2" s="2">
        <v>0</v>
      </c>
      <c r="I2" s="2">
        <v>141</v>
      </c>
      <c r="J2" s="2">
        <v>34</v>
      </c>
      <c r="K2" s="2">
        <v>11</v>
      </c>
      <c r="L2" s="2" t="s">
        <v>26</v>
      </c>
      <c r="M2" s="2">
        <v>915</v>
      </c>
      <c r="N2" s="2">
        <v>2219</v>
      </c>
      <c r="O2" s="2">
        <v>915</v>
      </c>
      <c r="P2" s="2">
        <v>12</v>
      </c>
      <c r="Q2" s="2">
        <v>1</v>
      </c>
      <c r="R2" s="2">
        <v>10.215156</v>
      </c>
      <c r="S2" s="2" t="s">
        <v>27</v>
      </c>
      <c r="T2" s="2">
        <v>1.8879680000000001E-3</v>
      </c>
      <c r="U2" s="2">
        <v>9.5368480000000005E-3</v>
      </c>
      <c r="V2" s="2">
        <v>29</v>
      </c>
      <c r="W2" s="2">
        <v>30</v>
      </c>
      <c r="X2" s="2">
        <v>97</v>
      </c>
      <c r="Y2" s="2">
        <v>34</v>
      </c>
      <c r="AC2" s="2">
        <f>U2/U3</f>
        <v>1.3745864788232187</v>
      </c>
      <c r="AD2" s="2">
        <f>I2-I3</f>
        <v>8</v>
      </c>
      <c r="AE2" s="3" t="s">
        <v>104</v>
      </c>
      <c r="AF2" s="3" t="s">
        <v>105</v>
      </c>
      <c r="AG2" s="3" t="s">
        <v>104</v>
      </c>
      <c r="AH2" s="3" t="s">
        <v>105</v>
      </c>
      <c r="AI2" s="3" t="s">
        <v>104</v>
      </c>
      <c r="AJ2" s="3" t="s">
        <v>105</v>
      </c>
    </row>
    <row r="3" spans="1:36" x14ac:dyDescent="0.25">
      <c r="A3">
        <v>5.3409820000000002E-3</v>
      </c>
      <c r="B3">
        <v>1.8149637972646799</v>
      </c>
      <c r="C3">
        <v>20.931034088134702</v>
      </c>
      <c r="D3">
        <v>5915</v>
      </c>
      <c r="E3">
        <v>33</v>
      </c>
      <c r="F3">
        <v>34</v>
      </c>
      <c r="G3" t="s">
        <v>25</v>
      </c>
      <c r="H3">
        <v>0</v>
      </c>
      <c r="I3">
        <v>133</v>
      </c>
      <c r="J3">
        <v>34</v>
      </c>
      <c r="K3">
        <v>11</v>
      </c>
      <c r="L3" t="s">
        <v>26</v>
      </c>
      <c r="M3">
        <v>843</v>
      </c>
      <c r="N3">
        <v>2256</v>
      </c>
      <c r="O3">
        <v>843</v>
      </c>
      <c r="P3">
        <v>12</v>
      </c>
      <c r="Q3">
        <v>1</v>
      </c>
      <c r="R3">
        <v>7.0785039999999997</v>
      </c>
      <c r="S3" t="s">
        <v>28</v>
      </c>
      <c r="T3">
        <v>1.597851E-3</v>
      </c>
      <c r="U3">
        <v>6.9379760000000002E-3</v>
      </c>
      <c r="V3">
        <v>29</v>
      </c>
      <c r="W3">
        <v>36</v>
      </c>
      <c r="X3">
        <v>83</v>
      </c>
      <c r="Y3">
        <v>34</v>
      </c>
      <c r="AE3" s="4">
        <f>AVERAGEIFS($R$2:$R$49,$S$2:$S$49,"MaxSatDddLadderRC2")</f>
        <v>13.318708541666666</v>
      </c>
      <c r="AF3" s="4">
        <f>AVERAGEIFS($R$2:$R$49,$S$2:$S$49,"MaxSatDddLadderScl")</f>
        <v>13.960085500000003</v>
      </c>
      <c r="AG3" s="4">
        <f>AVERAGEIFS($R$50:$R$97,$S$50:$S$97,"MaxSatDddLadderRC2")</f>
        <v>10474.859988458335</v>
      </c>
      <c r="AH3" s="4">
        <f>AVERAGEIF(S50:S97, "MaxSatDddLadderSCL",R50:R97 )</f>
        <v>10444.257114291668</v>
      </c>
      <c r="AI3" s="4">
        <f>AVERAGEIF(S98:S145, "MaxSatDddLadderRC2",R98:R145 )</f>
        <v>11104.0827565</v>
      </c>
      <c r="AJ3" s="4">
        <f>AVERAGEIF(S98:S145, "MaxSatDddLadderSCL",R98:R145 )</f>
        <v>11464.067306666662</v>
      </c>
    </row>
    <row r="4" spans="1:36" x14ac:dyDescent="0.25">
      <c r="A4">
        <v>5.425694E-3</v>
      </c>
      <c r="B4">
        <v>1.8594871794871699</v>
      </c>
      <c r="C4">
        <v>19</v>
      </c>
      <c r="D4">
        <v>3735</v>
      </c>
      <c r="E4">
        <v>33</v>
      </c>
      <c r="F4">
        <v>37</v>
      </c>
      <c r="G4" t="s">
        <v>25</v>
      </c>
      <c r="H4">
        <v>1</v>
      </c>
      <c r="I4">
        <v>156</v>
      </c>
      <c r="J4">
        <v>37</v>
      </c>
      <c r="K4">
        <v>10</v>
      </c>
      <c r="L4" t="s">
        <v>29</v>
      </c>
      <c r="M4">
        <v>762</v>
      </c>
      <c r="N4">
        <v>1813</v>
      </c>
      <c r="O4">
        <v>762</v>
      </c>
      <c r="P4">
        <v>37</v>
      </c>
      <c r="Q4">
        <v>1</v>
      </c>
      <c r="R4">
        <v>7.436534</v>
      </c>
      <c r="S4" t="s">
        <v>27</v>
      </c>
      <c r="T4">
        <v>1.942084E-3</v>
      </c>
      <c r="U4">
        <v>7.3672870000000001E-3</v>
      </c>
      <c r="V4">
        <v>25</v>
      </c>
      <c r="W4">
        <v>30</v>
      </c>
      <c r="X4">
        <v>87</v>
      </c>
      <c r="Y4">
        <v>37</v>
      </c>
      <c r="AC4">
        <f>U4/U5</f>
        <v>0.75854240742735135</v>
      </c>
      <c r="AD4">
        <f>I4-I5</f>
        <v>-1</v>
      </c>
    </row>
    <row r="5" spans="1:36" x14ac:dyDescent="0.25">
      <c r="A5">
        <v>6.8718809999999903E-3</v>
      </c>
      <c r="B5">
        <v>2.2020512820512801</v>
      </c>
      <c r="C5">
        <v>19</v>
      </c>
      <c r="D5">
        <v>3735</v>
      </c>
      <c r="E5">
        <v>33</v>
      </c>
      <c r="F5">
        <v>37</v>
      </c>
      <c r="G5" t="s">
        <v>25</v>
      </c>
      <c r="H5">
        <v>1</v>
      </c>
      <c r="I5">
        <v>157</v>
      </c>
      <c r="J5">
        <v>37</v>
      </c>
      <c r="K5">
        <v>13</v>
      </c>
      <c r="L5" t="s">
        <v>29</v>
      </c>
      <c r="M5">
        <v>894</v>
      </c>
      <c r="N5">
        <v>2147</v>
      </c>
      <c r="O5">
        <v>894</v>
      </c>
      <c r="P5">
        <v>37</v>
      </c>
      <c r="Q5">
        <v>1</v>
      </c>
      <c r="R5">
        <v>9.790324</v>
      </c>
      <c r="S5" t="s">
        <v>28</v>
      </c>
      <c r="T5">
        <v>2.8412480000000002E-3</v>
      </c>
      <c r="U5">
        <v>9.7124259999999997E-3</v>
      </c>
      <c r="V5">
        <v>25</v>
      </c>
      <c r="W5">
        <v>45</v>
      </c>
      <c r="X5">
        <v>73</v>
      </c>
      <c r="Y5">
        <v>37</v>
      </c>
    </row>
    <row r="6" spans="1:36" x14ac:dyDescent="0.25">
      <c r="A6">
        <v>7.4737419999999898E-3</v>
      </c>
      <c r="B6">
        <v>2.1174863387978098</v>
      </c>
      <c r="C6">
        <v>22.375</v>
      </c>
      <c r="D6">
        <v>2061</v>
      </c>
      <c r="E6">
        <v>33</v>
      </c>
      <c r="F6">
        <v>14</v>
      </c>
      <c r="G6" t="s">
        <v>25</v>
      </c>
      <c r="H6">
        <v>2</v>
      </c>
      <c r="I6">
        <v>207</v>
      </c>
      <c r="J6">
        <v>14</v>
      </c>
      <c r="K6">
        <v>8</v>
      </c>
      <c r="L6" t="s">
        <v>30</v>
      </c>
      <c r="M6">
        <v>759</v>
      </c>
      <c r="N6">
        <v>1550</v>
      </c>
      <c r="O6">
        <v>759</v>
      </c>
      <c r="P6">
        <v>14</v>
      </c>
      <c r="Q6">
        <v>1</v>
      </c>
      <c r="R6">
        <v>10.115316</v>
      </c>
      <c r="S6" t="s">
        <v>27</v>
      </c>
      <c r="T6">
        <v>2.5989730000000001E-3</v>
      </c>
      <c r="U6">
        <v>1.0072124999999999E-2</v>
      </c>
      <c r="V6">
        <v>16</v>
      </c>
      <c r="W6">
        <v>26</v>
      </c>
      <c r="X6">
        <v>165</v>
      </c>
      <c r="Y6">
        <v>14</v>
      </c>
      <c r="AC6">
        <f>U6/U7</f>
        <v>1.1401672941546435</v>
      </c>
      <c r="AD6">
        <f t="shared" ref="AD6" si="0">I6-I7</f>
        <v>16</v>
      </c>
    </row>
    <row r="7" spans="1:36" x14ac:dyDescent="0.25">
      <c r="A7">
        <v>6.2140549999999996E-3</v>
      </c>
      <c r="B7">
        <v>2.1939890710382501</v>
      </c>
      <c r="C7">
        <v>22.375</v>
      </c>
      <c r="D7">
        <v>2061</v>
      </c>
      <c r="E7">
        <v>33</v>
      </c>
      <c r="F7">
        <v>14</v>
      </c>
      <c r="G7" t="s">
        <v>25</v>
      </c>
      <c r="H7">
        <v>2</v>
      </c>
      <c r="I7">
        <v>191</v>
      </c>
      <c r="J7">
        <v>14</v>
      </c>
      <c r="K7">
        <v>8</v>
      </c>
      <c r="L7" t="s">
        <v>30</v>
      </c>
      <c r="M7">
        <v>758</v>
      </c>
      <c r="N7">
        <v>1606</v>
      </c>
      <c r="O7">
        <v>758</v>
      </c>
      <c r="P7">
        <v>14</v>
      </c>
      <c r="Q7">
        <v>1</v>
      </c>
      <c r="R7">
        <v>8.9584010000000003</v>
      </c>
      <c r="S7" t="s">
        <v>28</v>
      </c>
      <c r="T7">
        <v>2.620584E-3</v>
      </c>
      <c r="U7">
        <v>8.8339009999999999E-3</v>
      </c>
      <c r="V7">
        <v>16</v>
      </c>
      <c r="W7">
        <v>22</v>
      </c>
      <c r="X7">
        <v>153</v>
      </c>
      <c r="Y7">
        <v>14</v>
      </c>
    </row>
    <row r="8" spans="1:36" x14ac:dyDescent="0.25">
      <c r="A8">
        <v>2.7810510000000001E-3</v>
      </c>
      <c r="B8">
        <v>1.84782608695652</v>
      </c>
      <c r="C8">
        <v>19.214284896850501</v>
      </c>
      <c r="D8">
        <v>1175</v>
      </c>
      <c r="E8">
        <v>33</v>
      </c>
      <c r="F8">
        <v>22</v>
      </c>
      <c r="G8" t="s">
        <v>25</v>
      </c>
      <c r="H8">
        <v>3</v>
      </c>
      <c r="I8">
        <v>99</v>
      </c>
      <c r="J8">
        <v>22</v>
      </c>
      <c r="K8">
        <v>8</v>
      </c>
      <c r="L8" t="s">
        <v>31</v>
      </c>
      <c r="M8">
        <v>438</v>
      </c>
      <c r="N8">
        <v>1020</v>
      </c>
      <c r="O8">
        <v>438</v>
      </c>
      <c r="P8">
        <v>22</v>
      </c>
      <c r="Q8">
        <v>1</v>
      </c>
      <c r="R8">
        <v>3.387464</v>
      </c>
      <c r="S8" t="s">
        <v>27</v>
      </c>
      <c r="T8">
        <v>5.6321300000000002E-4</v>
      </c>
      <c r="U8">
        <v>3.3434749999999998E-3</v>
      </c>
      <c r="V8">
        <v>14</v>
      </c>
      <c r="W8">
        <v>10</v>
      </c>
      <c r="X8">
        <v>65</v>
      </c>
      <c r="Y8">
        <v>22</v>
      </c>
      <c r="AC8">
        <f>U8/U9</f>
        <v>0.68070966167041513</v>
      </c>
      <c r="AD8">
        <f t="shared" ref="AD8" si="1">I8-I9</f>
        <v>-28</v>
      </c>
    </row>
    <row r="9" spans="1:36" x14ac:dyDescent="0.25">
      <c r="A9">
        <v>3.9113910000000002E-3</v>
      </c>
      <c r="B9">
        <v>2.1068840579710102</v>
      </c>
      <c r="C9">
        <v>19.214284896850501</v>
      </c>
      <c r="D9">
        <v>1175</v>
      </c>
      <c r="E9">
        <v>33</v>
      </c>
      <c r="F9">
        <v>22</v>
      </c>
      <c r="G9" t="s">
        <v>25</v>
      </c>
      <c r="H9">
        <v>3</v>
      </c>
      <c r="I9">
        <v>127</v>
      </c>
      <c r="J9">
        <v>22</v>
      </c>
      <c r="K9">
        <v>7</v>
      </c>
      <c r="L9" t="s">
        <v>31</v>
      </c>
      <c r="M9">
        <v>515</v>
      </c>
      <c r="N9">
        <v>1163</v>
      </c>
      <c r="O9">
        <v>515</v>
      </c>
      <c r="P9">
        <v>22</v>
      </c>
      <c r="Q9">
        <v>1</v>
      </c>
      <c r="R9">
        <v>4.9574119999999997</v>
      </c>
      <c r="S9" t="s">
        <v>28</v>
      </c>
      <c r="T9">
        <v>1.0009229999999999E-3</v>
      </c>
      <c r="U9">
        <v>4.911749E-3</v>
      </c>
      <c r="V9">
        <v>14</v>
      </c>
      <c r="W9">
        <v>17</v>
      </c>
      <c r="X9">
        <v>86</v>
      </c>
      <c r="Y9">
        <v>22</v>
      </c>
    </row>
    <row r="10" spans="1:36" x14ac:dyDescent="0.25">
      <c r="A10">
        <v>3.33685599999999E-3</v>
      </c>
      <c r="B10">
        <v>2.1350210970464101</v>
      </c>
      <c r="C10">
        <v>19.25</v>
      </c>
      <c r="D10">
        <v>876</v>
      </c>
      <c r="E10">
        <v>33</v>
      </c>
      <c r="F10">
        <v>19</v>
      </c>
      <c r="G10" t="s">
        <v>25</v>
      </c>
      <c r="H10">
        <v>4</v>
      </c>
      <c r="I10">
        <v>115</v>
      </c>
      <c r="J10">
        <v>19</v>
      </c>
      <c r="K10">
        <v>10</v>
      </c>
      <c r="L10" t="s">
        <v>32</v>
      </c>
      <c r="M10">
        <v>501</v>
      </c>
      <c r="N10">
        <v>1012</v>
      </c>
      <c r="O10">
        <v>501</v>
      </c>
      <c r="P10">
        <v>19</v>
      </c>
      <c r="Q10">
        <v>1</v>
      </c>
      <c r="R10">
        <v>4.1243259999999999</v>
      </c>
      <c r="S10" t="s">
        <v>27</v>
      </c>
      <c r="T10">
        <v>7.5091800000000005E-4</v>
      </c>
      <c r="U10">
        <v>4.087228E-3</v>
      </c>
      <c r="V10">
        <v>12</v>
      </c>
      <c r="W10">
        <v>14</v>
      </c>
      <c r="X10">
        <v>80</v>
      </c>
      <c r="Y10">
        <v>19</v>
      </c>
      <c r="AC10">
        <f>U10/U11</f>
        <v>1.1388151299324774</v>
      </c>
      <c r="AD10">
        <f t="shared" ref="AD10" si="2">I10-I11</f>
        <v>20</v>
      </c>
    </row>
    <row r="11" spans="1:36" x14ac:dyDescent="0.25">
      <c r="A11">
        <v>3.0720280000000001E-3</v>
      </c>
      <c r="B11">
        <v>1.8206751054852299</v>
      </c>
      <c r="C11">
        <v>19.25</v>
      </c>
      <c r="D11">
        <v>876</v>
      </c>
      <c r="E11">
        <v>33</v>
      </c>
      <c r="F11">
        <v>19</v>
      </c>
      <c r="G11" t="s">
        <v>25</v>
      </c>
      <c r="H11">
        <v>4</v>
      </c>
      <c r="I11">
        <v>95</v>
      </c>
      <c r="J11">
        <v>19</v>
      </c>
      <c r="K11">
        <v>7</v>
      </c>
      <c r="L11" t="s">
        <v>32</v>
      </c>
      <c r="M11">
        <v>333</v>
      </c>
      <c r="N11">
        <v>863</v>
      </c>
      <c r="O11">
        <v>333</v>
      </c>
      <c r="P11">
        <v>19</v>
      </c>
      <c r="Q11">
        <v>1</v>
      </c>
      <c r="R11">
        <v>3.623437</v>
      </c>
      <c r="S11" t="s">
        <v>28</v>
      </c>
      <c r="T11">
        <v>5.1750400000000001E-4</v>
      </c>
      <c r="U11">
        <v>3.5890179999999998E-3</v>
      </c>
      <c r="V11">
        <v>12</v>
      </c>
      <c r="W11">
        <v>9</v>
      </c>
      <c r="X11">
        <v>65</v>
      </c>
      <c r="Y11">
        <v>19</v>
      </c>
    </row>
    <row r="12" spans="1:36" x14ac:dyDescent="0.25">
      <c r="A12">
        <v>1.8345060000000001E-3</v>
      </c>
      <c r="B12">
        <v>1.73856209150326</v>
      </c>
      <c r="C12">
        <v>18.625</v>
      </c>
      <c r="D12">
        <v>307</v>
      </c>
      <c r="E12">
        <v>33</v>
      </c>
      <c r="F12">
        <v>14</v>
      </c>
      <c r="G12" t="s">
        <v>25</v>
      </c>
      <c r="H12">
        <v>5</v>
      </c>
      <c r="I12">
        <v>89</v>
      </c>
      <c r="J12">
        <v>14</v>
      </c>
      <c r="K12">
        <v>6</v>
      </c>
      <c r="L12" t="s">
        <v>33</v>
      </c>
      <c r="M12">
        <v>215</v>
      </c>
      <c r="N12">
        <v>532</v>
      </c>
      <c r="O12">
        <v>215</v>
      </c>
      <c r="P12">
        <v>14</v>
      </c>
      <c r="Q12">
        <v>1</v>
      </c>
      <c r="R12">
        <v>2.2150400000000001</v>
      </c>
      <c r="S12" t="s">
        <v>27</v>
      </c>
      <c r="T12">
        <v>3.47566E-4</v>
      </c>
      <c r="U12">
        <v>2.1815839999999999E-3</v>
      </c>
      <c r="V12">
        <v>8</v>
      </c>
      <c r="W12">
        <v>4</v>
      </c>
      <c r="X12">
        <v>69</v>
      </c>
      <c r="Y12">
        <v>14</v>
      </c>
      <c r="AC12">
        <f>U12/U13</f>
        <v>1.0944661227741528</v>
      </c>
      <c r="AD12">
        <f t="shared" ref="AD12" si="3">I12-I13</f>
        <v>5</v>
      </c>
    </row>
    <row r="13" spans="1:36" x14ac:dyDescent="0.25">
      <c r="A13">
        <v>1.720926E-3</v>
      </c>
      <c r="B13">
        <v>1.75816993464052</v>
      </c>
      <c r="C13">
        <v>18.625</v>
      </c>
      <c r="D13">
        <v>307</v>
      </c>
      <c r="E13">
        <v>33</v>
      </c>
      <c r="F13">
        <v>14</v>
      </c>
      <c r="G13" t="s">
        <v>25</v>
      </c>
      <c r="H13">
        <v>5</v>
      </c>
      <c r="I13">
        <v>84</v>
      </c>
      <c r="J13">
        <v>14</v>
      </c>
      <c r="K13">
        <v>5</v>
      </c>
      <c r="L13" t="s">
        <v>33</v>
      </c>
      <c r="M13">
        <v>208</v>
      </c>
      <c r="N13">
        <v>538</v>
      </c>
      <c r="O13">
        <v>208</v>
      </c>
      <c r="P13">
        <v>14</v>
      </c>
      <c r="Q13">
        <v>1</v>
      </c>
      <c r="R13">
        <v>2.0307659999999998</v>
      </c>
      <c r="S13" t="s">
        <v>28</v>
      </c>
      <c r="T13">
        <v>2.7275200000000002E-4</v>
      </c>
      <c r="U13">
        <v>1.9932859999999999E-3</v>
      </c>
      <c r="V13">
        <v>8</v>
      </c>
      <c r="W13">
        <v>3</v>
      </c>
      <c r="X13">
        <v>65</v>
      </c>
      <c r="Y13">
        <v>14</v>
      </c>
    </row>
    <row r="14" spans="1:36" x14ac:dyDescent="0.25">
      <c r="A14">
        <v>1.906364E-3</v>
      </c>
      <c r="B14">
        <v>2.1285714285714201</v>
      </c>
      <c r="C14">
        <v>12.625</v>
      </c>
      <c r="D14">
        <v>126</v>
      </c>
      <c r="E14">
        <v>33</v>
      </c>
      <c r="F14">
        <v>15</v>
      </c>
      <c r="G14" t="s">
        <v>25</v>
      </c>
      <c r="H14">
        <v>6</v>
      </c>
      <c r="I14">
        <v>91</v>
      </c>
      <c r="J14">
        <v>15</v>
      </c>
      <c r="K14">
        <v>6</v>
      </c>
      <c r="L14" t="s">
        <v>34</v>
      </c>
      <c r="M14">
        <v>222</v>
      </c>
      <c r="N14">
        <v>447</v>
      </c>
      <c r="O14">
        <v>222</v>
      </c>
      <c r="P14">
        <v>15</v>
      </c>
      <c r="Q14">
        <v>1</v>
      </c>
      <c r="R14">
        <v>2.242321</v>
      </c>
      <c r="S14" t="s">
        <v>27</v>
      </c>
      <c r="T14">
        <v>3.1515200000000002E-4</v>
      </c>
      <c r="U14">
        <v>2.221032E-3</v>
      </c>
      <c r="V14">
        <v>8</v>
      </c>
      <c r="W14">
        <v>5</v>
      </c>
      <c r="X14">
        <v>69</v>
      </c>
      <c r="Y14">
        <v>15</v>
      </c>
      <c r="AC14">
        <f>U14/U15</f>
        <v>1.1197217927188379</v>
      </c>
      <c r="AD14">
        <f t="shared" ref="AD14" si="4">I14-I15</f>
        <v>3</v>
      </c>
    </row>
    <row r="15" spans="1:36" x14ac:dyDescent="0.25">
      <c r="A15">
        <v>1.6906499999999999E-3</v>
      </c>
      <c r="B15">
        <v>2.0619047619047599</v>
      </c>
      <c r="C15">
        <v>12.625</v>
      </c>
      <c r="D15">
        <v>126</v>
      </c>
      <c r="E15">
        <v>33</v>
      </c>
      <c r="F15">
        <v>15</v>
      </c>
      <c r="G15" t="s">
        <v>25</v>
      </c>
      <c r="H15">
        <v>6</v>
      </c>
      <c r="I15">
        <v>88</v>
      </c>
      <c r="J15">
        <v>15</v>
      </c>
      <c r="K15">
        <v>4</v>
      </c>
      <c r="L15" t="s">
        <v>34</v>
      </c>
      <c r="M15">
        <v>187</v>
      </c>
      <c r="N15">
        <v>433</v>
      </c>
      <c r="O15">
        <v>187</v>
      </c>
      <c r="P15">
        <v>15</v>
      </c>
      <c r="Q15">
        <v>1</v>
      </c>
      <c r="R15">
        <v>2.0216829999999999</v>
      </c>
      <c r="S15" t="s">
        <v>28</v>
      </c>
      <c r="T15">
        <v>2.9344700000000001E-4</v>
      </c>
      <c r="U15">
        <v>1.9835569999999999E-3</v>
      </c>
      <c r="V15">
        <v>8</v>
      </c>
      <c r="W15">
        <v>3</v>
      </c>
      <c r="X15">
        <v>68</v>
      </c>
      <c r="Y15">
        <v>15</v>
      </c>
    </row>
    <row r="16" spans="1:36" x14ac:dyDescent="0.25">
      <c r="A16">
        <v>3.0256197999999901E-2</v>
      </c>
      <c r="B16">
        <v>5.875</v>
      </c>
      <c r="C16">
        <v>19.214284896850501</v>
      </c>
      <c r="D16">
        <v>4877</v>
      </c>
      <c r="E16">
        <v>33</v>
      </c>
      <c r="F16">
        <v>136</v>
      </c>
      <c r="G16" t="s">
        <v>25</v>
      </c>
      <c r="H16">
        <v>7</v>
      </c>
      <c r="I16">
        <v>288</v>
      </c>
      <c r="J16">
        <v>136</v>
      </c>
      <c r="K16">
        <v>42</v>
      </c>
      <c r="L16" t="s">
        <v>35</v>
      </c>
      <c r="M16">
        <v>4744</v>
      </c>
      <c r="N16">
        <v>6486</v>
      </c>
      <c r="O16">
        <v>4744</v>
      </c>
      <c r="P16">
        <v>46</v>
      </c>
      <c r="Q16">
        <v>1</v>
      </c>
      <c r="R16">
        <v>120.588374</v>
      </c>
      <c r="S16" t="s">
        <v>27</v>
      </c>
      <c r="T16">
        <v>9.0117168999999997E-2</v>
      </c>
      <c r="U16">
        <v>0.120372776</v>
      </c>
      <c r="V16">
        <v>28</v>
      </c>
      <c r="W16">
        <v>181</v>
      </c>
      <c r="X16">
        <v>59</v>
      </c>
      <c r="Y16">
        <v>136</v>
      </c>
      <c r="AC16">
        <f>U16/U17</f>
        <v>0.9109036665043746</v>
      </c>
      <c r="AD16">
        <f t="shared" ref="AD16" si="5">I16-I17</f>
        <v>20</v>
      </c>
    </row>
    <row r="17" spans="1:30" x14ac:dyDescent="0.25">
      <c r="A17">
        <v>2.91304849999999E-2</v>
      </c>
      <c r="B17">
        <v>6.8269927536231796</v>
      </c>
      <c r="C17">
        <v>19.214284896850501</v>
      </c>
      <c r="D17">
        <v>4877</v>
      </c>
      <c r="E17">
        <v>33</v>
      </c>
      <c r="F17">
        <v>136</v>
      </c>
      <c r="G17" t="s">
        <v>25</v>
      </c>
      <c r="H17">
        <v>7</v>
      </c>
      <c r="I17">
        <v>268</v>
      </c>
      <c r="J17">
        <v>136</v>
      </c>
      <c r="K17">
        <v>46</v>
      </c>
      <c r="L17" t="s">
        <v>35</v>
      </c>
      <c r="M17">
        <v>4754</v>
      </c>
      <c r="N17">
        <v>7537</v>
      </c>
      <c r="O17">
        <v>4754</v>
      </c>
      <c r="P17">
        <v>46</v>
      </c>
      <c r="Q17">
        <v>1</v>
      </c>
      <c r="R17">
        <v>132.62364500000001</v>
      </c>
      <c r="S17" t="s">
        <v>28</v>
      </c>
      <c r="T17">
        <v>0.103016619</v>
      </c>
      <c r="U17">
        <v>0.132146549</v>
      </c>
      <c r="V17">
        <v>28</v>
      </c>
      <c r="W17">
        <v>168</v>
      </c>
      <c r="X17">
        <v>52</v>
      </c>
      <c r="Y17">
        <v>136</v>
      </c>
    </row>
    <row r="18" spans="1:30" x14ac:dyDescent="0.25">
      <c r="A18">
        <v>8.8967999999999998E-3</v>
      </c>
      <c r="B18">
        <v>2.87469586374695</v>
      </c>
      <c r="C18">
        <v>20.049999237060501</v>
      </c>
      <c r="D18">
        <v>2616</v>
      </c>
      <c r="E18">
        <v>33</v>
      </c>
      <c r="F18">
        <v>40</v>
      </c>
      <c r="G18" t="s">
        <v>25</v>
      </c>
      <c r="H18">
        <v>8</v>
      </c>
      <c r="I18">
        <v>208</v>
      </c>
      <c r="J18">
        <v>40</v>
      </c>
      <c r="K18">
        <v>12</v>
      </c>
      <c r="L18" t="s">
        <v>36</v>
      </c>
      <c r="M18">
        <v>1386</v>
      </c>
      <c r="N18">
        <v>2363</v>
      </c>
      <c r="O18">
        <v>1386</v>
      </c>
      <c r="P18">
        <v>40</v>
      </c>
      <c r="Q18">
        <v>1</v>
      </c>
      <c r="R18">
        <v>13.262290999999999</v>
      </c>
      <c r="S18" t="s">
        <v>27</v>
      </c>
      <c r="T18">
        <v>4.2791460000000002E-3</v>
      </c>
      <c r="U18">
        <v>1.3175439000000001E-2</v>
      </c>
      <c r="V18">
        <v>20</v>
      </c>
      <c r="W18">
        <v>63</v>
      </c>
      <c r="X18">
        <v>103</v>
      </c>
      <c r="Y18">
        <v>40</v>
      </c>
      <c r="AC18">
        <f>U18/U19</f>
        <v>0.90347418306540539</v>
      </c>
      <c r="AD18">
        <f t="shared" ref="AD18" si="6">I18-I19</f>
        <v>-10</v>
      </c>
    </row>
    <row r="19" spans="1:30" x14ac:dyDescent="0.25">
      <c r="A19">
        <v>9.0393680000000007E-3</v>
      </c>
      <c r="B19">
        <v>2.9866180048661799</v>
      </c>
      <c r="C19">
        <v>20.049999237060501</v>
      </c>
      <c r="D19">
        <v>2616</v>
      </c>
      <c r="E19">
        <v>33</v>
      </c>
      <c r="F19">
        <v>40</v>
      </c>
      <c r="G19" t="s">
        <v>25</v>
      </c>
      <c r="H19">
        <v>8</v>
      </c>
      <c r="I19">
        <v>218</v>
      </c>
      <c r="J19">
        <v>40</v>
      </c>
      <c r="K19">
        <v>13</v>
      </c>
      <c r="L19" t="s">
        <v>36</v>
      </c>
      <c r="M19">
        <v>1350</v>
      </c>
      <c r="N19">
        <v>2455</v>
      </c>
      <c r="O19">
        <v>1350</v>
      </c>
      <c r="P19">
        <v>40</v>
      </c>
      <c r="Q19">
        <v>1</v>
      </c>
      <c r="R19">
        <v>14.666463</v>
      </c>
      <c r="S19" t="s">
        <v>28</v>
      </c>
      <c r="T19">
        <v>5.5445219999999996E-3</v>
      </c>
      <c r="U19">
        <v>1.4583083E-2</v>
      </c>
      <c r="V19">
        <v>20</v>
      </c>
      <c r="W19">
        <v>54</v>
      </c>
      <c r="X19">
        <v>122</v>
      </c>
      <c r="Y19">
        <v>40</v>
      </c>
    </row>
    <row r="20" spans="1:30" x14ac:dyDescent="0.25">
      <c r="A20">
        <v>8.6201890000000003E-3</v>
      </c>
      <c r="B20">
        <v>3.0503937007873998</v>
      </c>
      <c r="C20">
        <v>18.176469802856399</v>
      </c>
      <c r="D20">
        <v>1632</v>
      </c>
      <c r="E20">
        <v>33</v>
      </c>
      <c r="F20">
        <v>33</v>
      </c>
      <c r="G20" t="s">
        <v>25</v>
      </c>
      <c r="H20">
        <v>9</v>
      </c>
      <c r="I20">
        <v>197</v>
      </c>
      <c r="J20">
        <v>33</v>
      </c>
      <c r="K20">
        <v>17</v>
      </c>
      <c r="L20" t="s">
        <v>37</v>
      </c>
      <c r="M20">
        <v>1180</v>
      </c>
      <c r="N20">
        <v>1937</v>
      </c>
      <c r="O20">
        <v>1180</v>
      </c>
      <c r="P20">
        <v>23</v>
      </c>
      <c r="Q20">
        <v>1</v>
      </c>
      <c r="R20">
        <v>12.898916</v>
      </c>
      <c r="S20" t="s">
        <v>27</v>
      </c>
      <c r="T20">
        <v>4.231612E-3</v>
      </c>
      <c r="U20">
        <v>1.2851184999999999E-2</v>
      </c>
      <c r="V20">
        <v>17</v>
      </c>
      <c r="W20">
        <v>52</v>
      </c>
      <c r="X20">
        <v>120</v>
      </c>
      <c r="Y20">
        <v>33</v>
      </c>
      <c r="AC20">
        <f>U20/U21</f>
        <v>1.1648372854234463</v>
      </c>
      <c r="AD20">
        <f t="shared" ref="AD20" si="7">I20-I21</f>
        <v>32</v>
      </c>
    </row>
    <row r="21" spans="1:30" x14ac:dyDescent="0.25">
      <c r="A21">
        <v>7.8470629999999996E-3</v>
      </c>
      <c r="B21">
        <v>3.0929133858267699</v>
      </c>
      <c r="C21">
        <v>18.176469802856399</v>
      </c>
      <c r="D21">
        <v>1632</v>
      </c>
      <c r="E21">
        <v>33</v>
      </c>
      <c r="F21">
        <v>33</v>
      </c>
      <c r="G21" t="s">
        <v>25</v>
      </c>
      <c r="H21">
        <v>9</v>
      </c>
      <c r="I21">
        <v>165</v>
      </c>
      <c r="J21">
        <v>33</v>
      </c>
      <c r="K21">
        <v>17</v>
      </c>
      <c r="L21" t="s">
        <v>37</v>
      </c>
      <c r="M21">
        <v>1065</v>
      </c>
      <c r="N21">
        <v>1964</v>
      </c>
      <c r="O21">
        <v>1065</v>
      </c>
      <c r="P21">
        <v>23</v>
      </c>
      <c r="Q21">
        <v>1</v>
      </c>
      <c r="R21">
        <v>11.13008</v>
      </c>
      <c r="S21" t="s">
        <v>28</v>
      </c>
      <c r="T21">
        <v>3.1860539999999998E-3</v>
      </c>
      <c r="U21">
        <v>1.1032601E-2</v>
      </c>
      <c r="V21">
        <v>17</v>
      </c>
      <c r="W21">
        <v>44</v>
      </c>
      <c r="X21">
        <v>96</v>
      </c>
      <c r="Y21">
        <v>33</v>
      </c>
    </row>
    <row r="22" spans="1:30" x14ac:dyDescent="0.25">
      <c r="A22">
        <v>7.20857099999999E-3</v>
      </c>
      <c r="B22">
        <v>2.2303278688524499</v>
      </c>
      <c r="C22">
        <v>19.8333339691162</v>
      </c>
      <c r="D22">
        <v>6162</v>
      </c>
      <c r="E22">
        <v>33</v>
      </c>
      <c r="F22">
        <v>25</v>
      </c>
      <c r="G22" t="s">
        <v>25</v>
      </c>
      <c r="H22">
        <v>10</v>
      </c>
      <c r="I22">
        <v>111</v>
      </c>
      <c r="J22">
        <v>25</v>
      </c>
      <c r="K22">
        <v>8</v>
      </c>
      <c r="L22" t="s">
        <v>38</v>
      </c>
      <c r="M22">
        <v>1340</v>
      </c>
      <c r="N22">
        <v>2721</v>
      </c>
      <c r="O22">
        <v>1340</v>
      </c>
      <c r="P22">
        <v>25</v>
      </c>
      <c r="Q22">
        <v>1</v>
      </c>
      <c r="R22">
        <v>10.646302</v>
      </c>
      <c r="S22" t="s">
        <v>27</v>
      </c>
      <c r="T22">
        <v>3.3759039999999999E-3</v>
      </c>
      <c r="U22">
        <v>1.0583786E-2</v>
      </c>
      <c r="V22">
        <v>30</v>
      </c>
      <c r="W22">
        <v>51</v>
      </c>
      <c r="X22">
        <v>33</v>
      </c>
      <c r="Y22">
        <v>25</v>
      </c>
      <c r="AC22">
        <f>U22/U23</f>
        <v>0.53912749538072391</v>
      </c>
      <c r="AD22">
        <f t="shared" ref="AD22" si="8">I22-I23</f>
        <v>-25</v>
      </c>
    </row>
    <row r="23" spans="1:30" x14ac:dyDescent="0.25">
      <c r="A23">
        <v>1.1448662E-2</v>
      </c>
      <c r="B23">
        <v>3.1606557377049098</v>
      </c>
      <c r="C23">
        <v>19.8333339691162</v>
      </c>
      <c r="D23">
        <v>6162</v>
      </c>
      <c r="E23">
        <v>33</v>
      </c>
      <c r="F23">
        <v>25</v>
      </c>
      <c r="G23" t="s">
        <v>25</v>
      </c>
      <c r="H23">
        <v>10</v>
      </c>
      <c r="I23">
        <v>136</v>
      </c>
      <c r="J23">
        <v>25</v>
      </c>
      <c r="K23">
        <v>13</v>
      </c>
      <c r="L23" t="s">
        <v>38</v>
      </c>
      <c r="M23">
        <v>2014</v>
      </c>
      <c r="N23">
        <v>3856</v>
      </c>
      <c r="O23">
        <v>2014</v>
      </c>
      <c r="P23">
        <v>25</v>
      </c>
      <c r="Q23">
        <v>1</v>
      </c>
      <c r="R23">
        <v>19.822247000000001</v>
      </c>
      <c r="S23" t="s">
        <v>28</v>
      </c>
      <c r="T23">
        <v>8.1832060000000002E-3</v>
      </c>
      <c r="U23">
        <v>1.9631322999999999E-2</v>
      </c>
      <c r="V23">
        <v>30</v>
      </c>
      <c r="W23">
        <v>78</v>
      </c>
      <c r="X23">
        <v>31</v>
      </c>
      <c r="Y23">
        <v>25</v>
      </c>
    </row>
    <row r="24" spans="1:30" x14ac:dyDescent="0.25">
      <c r="A24">
        <v>2.5378557E-2</v>
      </c>
      <c r="B24">
        <v>2.95900321543408</v>
      </c>
      <c r="C24">
        <v>21.714284896850501</v>
      </c>
      <c r="D24">
        <v>6393</v>
      </c>
      <c r="E24">
        <v>33</v>
      </c>
      <c r="F24">
        <v>29</v>
      </c>
      <c r="G24" t="s">
        <v>25</v>
      </c>
      <c r="H24">
        <v>11</v>
      </c>
      <c r="I24">
        <v>253</v>
      </c>
      <c r="J24">
        <v>29</v>
      </c>
      <c r="K24">
        <v>11</v>
      </c>
      <c r="L24" t="s">
        <v>39</v>
      </c>
      <c r="M24">
        <v>2204</v>
      </c>
      <c r="N24">
        <v>3681</v>
      </c>
      <c r="O24">
        <v>2204</v>
      </c>
      <c r="P24">
        <v>29</v>
      </c>
      <c r="Q24">
        <v>1</v>
      </c>
      <c r="R24">
        <v>53.269920999999997</v>
      </c>
      <c r="S24" t="s">
        <v>27</v>
      </c>
      <c r="T24">
        <v>2.7759078999999999E-2</v>
      </c>
      <c r="U24">
        <v>5.3136958999999997E-2</v>
      </c>
      <c r="V24">
        <v>28</v>
      </c>
      <c r="W24">
        <v>74</v>
      </c>
      <c r="X24">
        <v>148</v>
      </c>
      <c r="Y24">
        <v>29</v>
      </c>
      <c r="AC24">
        <f>U24/U25</f>
        <v>1.1424035982139988</v>
      </c>
      <c r="AD24">
        <f t="shared" ref="AD24" si="9">I24-I25</f>
        <v>37</v>
      </c>
    </row>
    <row r="25" spans="1:30" x14ac:dyDescent="0.25">
      <c r="A25">
        <v>2.3580589999999998E-2</v>
      </c>
      <c r="B25">
        <v>3.54581993569131</v>
      </c>
      <c r="C25">
        <v>21.714284896850501</v>
      </c>
      <c r="D25">
        <v>6393</v>
      </c>
      <c r="E25">
        <v>33</v>
      </c>
      <c r="F25">
        <v>29</v>
      </c>
      <c r="G25" t="s">
        <v>25</v>
      </c>
      <c r="H25">
        <v>11</v>
      </c>
      <c r="I25">
        <v>216</v>
      </c>
      <c r="J25">
        <v>29</v>
      </c>
      <c r="K25">
        <v>13</v>
      </c>
      <c r="L25" t="s">
        <v>39</v>
      </c>
      <c r="M25">
        <v>2467</v>
      </c>
      <c r="N25">
        <v>4411</v>
      </c>
      <c r="O25">
        <v>2467</v>
      </c>
      <c r="P25">
        <v>29</v>
      </c>
      <c r="Q25">
        <v>2</v>
      </c>
      <c r="R25">
        <v>46.661307999999998</v>
      </c>
      <c r="S25" t="s">
        <v>28</v>
      </c>
      <c r="T25">
        <v>2.2933441999999998E-2</v>
      </c>
      <c r="U25">
        <v>4.6513298000000002E-2</v>
      </c>
      <c r="V25">
        <v>28</v>
      </c>
      <c r="W25">
        <v>100</v>
      </c>
      <c r="X25">
        <v>84</v>
      </c>
      <c r="Y25">
        <v>29</v>
      </c>
    </row>
    <row r="26" spans="1:30" x14ac:dyDescent="0.25">
      <c r="A26">
        <v>1.7353360000000001E-3</v>
      </c>
      <c r="B26">
        <v>1.2071651090342601</v>
      </c>
      <c r="C26">
        <v>17.3333339691162</v>
      </c>
      <c r="D26">
        <v>2022</v>
      </c>
      <c r="E26">
        <v>25</v>
      </c>
      <c r="F26">
        <v>7</v>
      </c>
      <c r="G26" t="s">
        <v>25</v>
      </c>
      <c r="H26">
        <v>12</v>
      </c>
      <c r="I26">
        <v>74</v>
      </c>
      <c r="J26">
        <v>7</v>
      </c>
      <c r="K26">
        <v>4</v>
      </c>
      <c r="L26" t="s">
        <v>40</v>
      </c>
      <c r="M26">
        <v>124</v>
      </c>
      <c r="N26">
        <v>775</v>
      </c>
      <c r="O26">
        <v>124</v>
      </c>
      <c r="P26">
        <v>7</v>
      </c>
      <c r="Q26">
        <v>1</v>
      </c>
      <c r="R26">
        <v>1.9235789999999999</v>
      </c>
      <c r="S26" t="s">
        <v>27</v>
      </c>
      <c r="T26">
        <v>1.5020300000000001E-4</v>
      </c>
      <c r="U26">
        <v>1.884986E-3</v>
      </c>
      <c r="V26">
        <v>18</v>
      </c>
      <c r="W26">
        <v>3</v>
      </c>
      <c r="X26">
        <v>62</v>
      </c>
      <c r="Y26">
        <v>7</v>
      </c>
      <c r="AC26">
        <f>U26/U27</f>
        <v>0.92534996652024581</v>
      </c>
      <c r="AD26">
        <f t="shared" ref="AD26" si="10">I26-I27</f>
        <v>-16</v>
      </c>
    </row>
    <row r="27" spans="1:30" x14ac:dyDescent="0.25">
      <c r="A27">
        <v>1.836598E-3</v>
      </c>
      <c r="B27">
        <v>1.19781931464174</v>
      </c>
      <c r="C27">
        <v>17.3333339691162</v>
      </c>
      <c r="D27">
        <v>2022</v>
      </c>
      <c r="E27">
        <v>25</v>
      </c>
      <c r="F27">
        <v>7</v>
      </c>
      <c r="G27" t="s">
        <v>25</v>
      </c>
      <c r="H27">
        <v>12</v>
      </c>
      <c r="I27">
        <v>90</v>
      </c>
      <c r="J27">
        <v>7</v>
      </c>
      <c r="K27">
        <v>3</v>
      </c>
      <c r="L27" t="s">
        <v>40</v>
      </c>
      <c r="M27">
        <v>111</v>
      </c>
      <c r="N27">
        <v>769</v>
      </c>
      <c r="O27">
        <v>111</v>
      </c>
      <c r="P27">
        <v>7</v>
      </c>
      <c r="Q27">
        <v>1</v>
      </c>
      <c r="R27">
        <v>2.077391</v>
      </c>
      <c r="S27" t="s">
        <v>28</v>
      </c>
      <c r="T27">
        <v>2.00905E-4</v>
      </c>
      <c r="U27">
        <v>2.0370520000000001E-3</v>
      </c>
      <c r="V27">
        <v>18</v>
      </c>
      <c r="W27">
        <v>2</v>
      </c>
      <c r="X27">
        <v>79</v>
      </c>
      <c r="Y27">
        <v>7</v>
      </c>
    </row>
    <row r="28" spans="1:30" x14ac:dyDescent="0.25">
      <c r="A28">
        <v>1.0460979999999901E-3</v>
      </c>
      <c r="B28">
        <v>1.52287581699346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56</v>
      </c>
      <c r="J28">
        <v>5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5</v>
      </c>
      <c r="Q28">
        <v>1</v>
      </c>
      <c r="R28">
        <v>1.1775599999999999</v>
      </c>
      <c r="S28" t="s">
        <v>27</v>
      </c>
      <c r="T28" s="1">
        <v>9.7825999999999995E-5</v>
      </c>
      <c r="U28">
        <v>1.143374E-3</v>
      </c>
      <c r="V28">
        <v>5</v>
      </c>
      <c r="W28">
        <v>3</v>
      </c>
      <c r="X28">
        <v>46</v>
      </c>
      <c r="Y28">
        <v>5</v>
      </c>
      <c r="AC28">
        <f>U28/U29</f>
        <v>1.0499735985417211</v>
      </c>
      <c r="AD28">
        <f t="shared" ref="AD28" si="11">I28-I29</f>
        <v>4</v>
      </c>
    </row>
    <row r="29" spans="1:30" x14ac:dyDescent="0.25">
      <c r="A29">
        <v>9.6179299999999996E-4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1.1082050000000001</v>
      </c>
      <c r="S29" t="s">
        <v>28</v>
      </c>
      <c r="T29">
        <v>1.2757400000000001E-4</v>
      </c>
      <c r="U29">
        <v>1.088955E-3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1.26228E-3</v>
      </c>
      <c r="B30">
        <v>2.3468208092485501</v>
      </c>
      <c r="C30">
        <v>16.799999237060501</v>
      </c>
      <c r="D30">
        <v>136</v>
      </c>
      <c r="E30">
        <v>20</v>
      </c>
      <c r="F30">
        <v>7</v>
      </c>
      <c r="G30" t="s">
        <v>25</v>
      </c>
      <c r="H30">
        <v>14</v>
      </c>
      <c r="I30">
        <v>70</v>
      </c>
      <c r="J30">
        <v>7</v>
      </c>
      <c r="K30">
        <v>6</v>
      </c>
      <c r="L30" t="s">
        <v>42</v>
      </c>
      <c r="M30">
        <v>218</v>
      </c>
      <c r="N30">
        <v>406</v>
      </c>
      <c r="O30">
        <v>218</v>
      </c>
      <c r="P30">
        <v>7</v>
      </c>
      <c r="Q30">
        <v>1</v>
      </c>
      <c r="R30">
        <v>1.5343230000000001</v>
      </c>
      <c r="S30" t="s">
        <v>27</v>
      </c>
      <c r="T30">
        <v>2.4949599999999998E-4</v>
      </c>
      <c r="U30">
        <v>1.5113049999999999E-3</v>
      </c>
      <c r="V30">
        <v>5</v>
      </c>
      <c r="W30">
        <v>6</v>
      </c>
      <c r="X30">
        <v>55</v>
      </c>
      <c r="Y30">
        <v>7</v>
      </c>
      <c r="AC30">
        <f>U30/U31</f>
        <v>1.1331085067954045</v>
      </c>
      <c r="AD30">
        <f t="shared" ref="AD30" si="12">I30-I31</f>
        <v>3</v>
      </c>
    </row>
    <row r="31" spans="1:30" x14ac:dyDescent="0.25">
      <c r="A31">
        <v>1.125919E-3</v>
      </c>
      <c r="B31">
        <v>2.2890173410404602</v>
      </c>
      <c r="C31">
        <v>16.799999237060501</v>
      </c>
      <c r="D31">
        <v>136</v>
      </c>
      <c r="E31">
        <v>20</v>
      </c>
      <c r="F31">
        <v>7</v>
      </c>
      <c r="G31" t="s">
        <v>25</v>
      </c>
      <c r="H31">
        <v>14</v>
      </c>
      <c r="I31">
        <v>67</v>
      </c>
      <c r="J31">
        <v>7</v>
      </c>
      <c r="K31">
        <v>6</v>
      </c>
      <c r="L31" t="s">
        <v>42</v>
      </c>
      <c r="M31">
        <v>195</v>
      </c>
      <c r="N31">
        <v>396</v>
      </c>
      <c r="O31">
        <v>195</v>
      </c>
      <c r="P31">
        <v>7</v>
      </c>
      <c r="Q31">
        <v>1</v>
      </c>
      <c r="R31">
        <v>1.380287</v>
      </c>
      <c r="S31" t="s">
        <v>28</v>
      </c>
      <c r="T31">
        <v>2.0833000000000001E-4</v>
      </c>
      <c r="U31">
        <v>1.3337690000000001E-3</v>
      </c>
      <c r="V31">
        <v>5</v>
      </c>
      <c r="W31">
        <v>4</v>
      </c>
      <c r="X31">
        <v>54</v>
      </c>
      <c r="Y31">
        <v>7</v>
      </c>
    </row>
    <row r="32" spans="1:30" x14ac:dyDescent="0.25">
      <c r="A32">
        <v>2.985466E-3</v>
      </c>
      <c r="B32">
        <v>2.0227963525835801</v>
      </c>
      <c r="C32">
        <v>15.949999809265099</v>
      </c>
      <c r="D32">
        <v>2246</v>
      </c>
      <c r="E32">
        <v>25</v>
      </c>
      <c r="F32">
        <v>301</v>
      </c>
      <c r="G32" t="s">
        <v>25</v>
      </c>
      <c r="H32">
        <v>15</v>
      </c>
      <c r="I32">
        <v>100</v>
      </c>
      <c r="J32">
        <v>301</v>
      </c>
      <c r="K32">
        <v>17</v>
      </c>
      <c r="L32" t="s">
        <v>43</v>
      </c>
      <c r="M32">
        <v>600</v>
      </c>
      <c r="N32">
        <v>1331</v>
      </c>
      <c r="O32">
        <v>600</v>
      </c>
      <c r="P32">
        <v>10</v>
      </c>
      <c r="Q32">
        <v>1</v>
      </c>
      <c r="R32">
        <v>3.821774</v>
      </c>
      <c r="S32" t="s">
        <v>27</v>
      </c>
      <c r="T32">
        <v>7.9142999999999998E-4</v>
      </c>
      <c r="U32">
        <v>3.7764869999999998E-3</v>
      </c>
      <c r="V32">
        <v>20</v>
      </c>
      <c r="W32">
        <v>50</v>
      </c>
      <c r="X32">
        <v>38</v>
      </c>
      <c r="Y32">
        <v>301</v>
      </c>
      <c r="AC32">
        <f>U32/U33</f>
        <v>0.83619268744597319</v>
      </c>
      <c r="AD32">
        <f t="shared" ref="AD32" si="13">I32-I33</f>
        <v>3</v>
      </c>
    </row>
    <row r="33" spans="1:30" x14ac:dyDescent="0.25">
      <c r="A33">
        <v>3.1736409999999901E-3</v>
      </c>
      <c r="B33">
        <v>1.9939209726443701</v>
      </c>
      <c r="C33">
        <v>15.949999809265099</v>
      </c>
      <c r="D33">
        <v>2246</v>
      </c>
      <c r="E33">
        <v>25</v>
      </c>
      <c r="F33">
        <v>301</v>
      </c>
      <c r="G33" t="s">
        <v>25</v>
      </c>
      <c r="H33">
        <v>15</v>
      </c>
      <c r="I33">
        <v>97</v>
      </c>
      <c r="J33">
        <v>301</v>
      </c>
      <c r="K33">
        <v>19</v>
      </c>
      <c r="L33" t="s">
        <v>43</v>
      </c>
      <c r="M33">
        <v>422</v>
      </c>
      <c r="N33">
        <v>1312</v>
      </c>
      <c r="O33">
        <v>422</v>
      </c>
      <c r="P33">
        <v>10</v>
      </c>
      <c r="Q33">
        <v>1</v>
      </c>
      <c r="R33">
        <v>4.5974969999999997</v>
      </c>
      <c r="S33" t="s">
        <v>28</v>
      </c>
      <c r="T33">
        <v>1.343119E-3</v>
      </c>
      <c r="U33">
        <v>4.5162880000000002E-3</v>
      </c>
      <c r="V33">
        <v>20</v>
      </c>
      <c r="W33">
        <v>44</v>
      </c>
      <c r="X33">
        <v>41</v>
      </c>
      <c r="Y33">
        <v>301</v>
      </c>
    </row>
    <row r="34" spans="1:30" x14ac:dyDescent="0.25">
      <c r="A34">
        <v>1.3939759999999999E-3</v>
      </c>
      <c r="B34">
        <v>1.5464480874316899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3</v>
      </c>
      <c r="L34" t="s">
        <v>44</v>
      </c>
      <c r="M34">
        <v>94</v>
      </c>
      <c r="N34">
        <v>283</v>
      </c>
      <c r="O34">
        <v>94</v>
      </c>
      <c r="P34">
        <v>2</v>
      </c>
      <c r="Q34">
        <v>1</v>
      </c>
      <c r="R34">
        <v>1.6361730000000001</v>
      </c>
      <c r="S34" t="s">
        <v>27</v>
      </c>
      <c r="T34">
        <v>2.0612500000000001E-4</v>
      </c>
      <c r="U34">
        <v>1.599519E-3</v>
      </c>
      <c r="V34">
        <v>5</v>
      </c>
      <c r="W34">
        <v>2</v>
      </c>
      <c r="X34">
        <v>67</v>
      </c>
      <c r="Y34">
        <v>2</v>
      </c>
      <c r="AC34">
        <f>U34/U35</f>
        <v>1.2779528389470975</v>
      </c>
      <c r="AD34">
        <f t="shared" ref="AD34" si="14">I34-I35</f>
        <v>4</v>
      </c>
    </row>
    <row r="35" spans="1:30" x14ac:dyDescent="0.25">
      <c r="A35">
        <v>1.0977960000000001E-3</v>
      </c>
      <c r="B35">
        <v>1.63387978142076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4</v>
      </c>
      <c r="L35" t="s">
        <v>44</v>
      </c>
      <c r="M35">
        <v>100</v>
      </c>
      <c r="N35">
        <v>299</v>
      </c>
      <c r="O35">
        <v>100</v>
      </c>
      <c r="P35">
        <v>2</v>
      </c>
      <c r="Q35">
        <v>1</v>
      </c>
      <c r="R35">
        <v>1.271919</v>
      </c>
      <c r="S35" t="s">
        <v>28</v>
      </c>
      <c r="T35">
        <v>1.5430700000000001E-4</v>
      </c>
      <c r="U35">
        <v>1.251626E-3</v>
      </c>
      <c r="V35">
        <v>5</v>
      </c>
      <c r="W35">
        <v>3</v>
      </c>
      <c r="X35">
        <v>62</v>
      </c>
      <c r="Y35">
        <v>2</v>
      </c>
    </row>
    <row r="36" spans="1:30" x14ac:dyDescent="0.25">
      <c r="A36">
        <v>2.2323699999999999E-4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0.24621799999999999</v>
      </c>
      <c r="S36" t="s">
        <v>27</v>
      </c>
      <c r="T36" s="1">
        <v>1.2170999999999999E-5</v>
      </c>
      <c r="U36">
        <v>2.3488799999999999E-4</v>
      </c>
      <c r="V36">
        <v>5</v>
      </c>
      <c r="W36">
        <v>0</v>
      </c>
      <c r="X36">
        <v>13</v>
      </c>
      <c r="Y36">
        <v>2</v>
      </c>
      <c r="AC36">
        <f>U36/U37</f>
        <v>1.003044731504217</v>
      </c>
      <c r="AD36">
        <f t="shared" ref="AD36" si="15">I36-I37</f>
        <v>1</v>
      </c>
    </row>
    <row r="37" spans="1:30" x14ac:dyDescent="0.25">
      <c r="A37">
        <v>2.2414599999999999E-4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0.25423000000000001</v>
      </c>
      <c r="S37" t="s">
        <v>28</v>
      </c>
      <c r="T37" s="1">
        <v>1.0431999999999999E-5</v>
      </c>
      <c r="U37">
        <v>2.3417499999999999E-4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5.1472369999999998E-3</v>
      </c>
      <c r="B38">
        <v>2.9933862433862402</v>
      </c>
      <c r="C38">
        <v>15.25</v>
      </c>
      <c r="D38">
        <v>2865</v>
      </c>
      <c r="E38">
        <v>25</v>
      </c>
      <c r="F38">
        <v>370</v>
      </c>
      <c r="G38" t="s">
        <v>25</v>
      </c>
      <c r="H38">
        <v>18</v>
      </c>
      <c r="I38">
        <v>107</v>
      </c>
      <c r="J38">
        <v>370</v>
      </c>
      <c r="K38">
        <v>27</v>
      </c>
      <c r="L38" t="s">
        <v>46</v>
      </c>
      <c r="M38">
        <v>1442</v>
      </c>
      <c r="N38">
        <v>2263</v>
      </c>
      <c r="O38">
        <v>1442</v>
      </c>
      <c r="P38">
        <v>19</v>
      </c>
      <c r="Q38">
        <v>1</v>
      </c>
      <c r="R38">
        <v>8.4135969999999993</v>
      </c>
      <c r="S38" t="s">
        <v>27</v>
      </c>
      <c r="T38">
        <v>3.2148979999999999E-3</v>
      </c>
      <c r="U38">
        <v>8.3613179999999995E-3</v>
      </c>
      <c r="V38">
        <v>24</v>
      </c>
      <c r="W38">
        <v>59</v>
      </c>
      <c r="X38">
        <v>27</v>
      </c>
      <c r="Y38">
        <v>370</v>
      </c>
      <c r="AC38">
        <f>U38/U39</f>
        <v>0.9650218561462317</v>
      </c>
      <c r="AD38">
        <f t="shared" ref="AD38" si="16">I38-I39</f>
        <v>6</v>
      </c>
    </row>
    <row r="39" spans="1:30" x14ac:dyDescent="0.25">
      <c r="A39">
        <v>5.0744869999999999E-3</v>
      </c>
      <c r="B39">
        <v>3.5965608465608399</v>
      </c>
      <c r="C39">
        <v>15.25</v>
      </c>
      <c r="D39">
        <v>2865</v>
      </c>
      <c r="E39">
        <v>25</v>
      </c>
      <c r="F39">
        <v>370</v>
      </c>
      <c r="G39" t="s">
        <v>25</v>
      </c>
      <c r="H39">
        <v>18</v>
      </c>
      <c r="I39">
        <v>101</v>
      </c>
      <c r="J39">
        <v>370</v>
      </c>
      <c r="K39">
        <v>33</v>
      </c>
      <c r="L39" t="s">
        <v>46</v>
      </c>
      <c r="M39">
        <v>1320</v>
      </c>
      <c r="N39">
        <v>2719</v>
      </c>
      <c r="O39">
        <v>1320</v>
      </c>
      <c r="P39">
        <v>19</v>
      </c>
      <c r="Q39">
        <v>1</v>
      </c>
      <c r="R39">
        <v>8.8025909999999996</v>
      </c>
      <c r="S39" t="s">
        <v>28</v>
      </c>
      <c r="T39">
        <v>3.5905889999999999E-3</v>
      </c>
      <c r="U39">
        <v>8.664382E-3</v>
      </c>
      <c r="V39">
        <v>24</v>
      </c>
      <c r="W39">
        <v>63</v>
      </c>
      <c r="X39">
        <v>17</v>
      </c>
      <c r="Y39">
        <v>370</v>
      </c>
    </row>
    <row r="40" spans="1:30" x14ac:dyDescent="0.25">
      <c r="A40">
        <v>5.8958299999999997E-4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0.65287700000000004</v>
      </c>
      <c r="S40" t="s">
        <v>27</v>
      </c>
      <c r="T40" s="1">
        <v>4.1459999999999999E-5</v>
      </c>
      <c r="U40">
        <v>6.3047099999999996E-4</v>
      </c>
      <c r="V40">
        <v>5</v>
      </c>
      <c r="W40">
        <v>0</v>
      </c>
      <c r="X40">
        <v>39</v>
      </c>
      <c r="Y40">
        <v>6</v>
      </c>
      <c r="AC40">
        <f>U40/U41</f>
        <v>1.1159687337376141</v>
      </c>
      <c r="AD40">
        <f t="shared" ref="AD40" si="17">I40-I41</f>
        <v>2</v>
      </c>
    </row>
    <row r="41" spans="1:30" x14ac:dyDescent="0.25">
      <c r="A41">
        <v>5.2832400000000005E-4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0.587615</v>
      </c>
      <c r="S41" t="s">
        <v>28</v>
      </c>
      <c r="T41" s="1">
        <v>3.7024999999999999E-5</v>
      </c>
      <c r="U41">
        <v>5.64954E-4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2.244373E-3</v>
      </c>
      <c r="B42">
        <v>2.7868020304568502</v>
      </c>
      <c r="C42">
        <v>13.571428298950099</v>
      </c>
      <c r="D42">
        <v>150</v>
      </c>
      <c r="E42">
        <v>25</v>
      </c>
      <c r="F42">
        <v>35</v>
      </c>
      <c r="G42" t="s">
        <v>25</v>
      </c>
      <c r="H42">
        <v>20</v>
      </c>
      <c r="I42">
        <v>101</v>
      </c>
      <c r="J42">
        <v>35</v>
      </c>
      <c r="K42">
        <v>7</v>
      </c>
      <c r="L42" t="s">
        <v>48</v>
      </c>
      <c r="M42">
        <v>327</v>
      </c>
      <c r="N42">
        <v>549</v>
      </c>
      <c r="O42">
        <v>327</v>
      </c>
      <c r="P42">
        <v>8</v>
      </c>
      <c r="Q42">
        <v>1</v>
      </c>
      <c r="R42">
        <v>2.89967</v>
      </c>
      <c r="S42" t="s">
        <v>27</v>
      </c>
      <c r="T42">
        <v>6.2591800000000005E-4</v>
      </c>
      <c r="U42">
        <v>2.8698230000000001E-3</v>
      </c>
      <c r="V42">
        <v>7</v>
      </c>
      <c r="W42">
        <v>9</v>
      </c>
      <c r="X42">
        <v>82</v>
      </c>
      <c r="Y42">
        <v>35</v>
      </c>
      <c r="AC42">
        <f>U42/U43</f>
        <v>1.2033749410855028</v>
      </c>
      <c r="AD42">
        <f t="shared" ref="AD42" si="18">I42-I43</f>
        <v>11</v>
      </c>
    </row>
    <row r="43" spans="1:30" x14ac:dyDescent="0.25">
      <c r="A43">
        <v>1.8743269999999901E-3</v>
      </c>
      <c r="B43">
        <v>2.8680203045685202</v>
      </c>
      <c r="C43">
        <v>13.571428298950099</v>
      </c>
      <c r="D43">
        <v>150</v>
      </c>
      <c r="E43">
        <v>25</v>
      </c>
      <c r="F43">
        <v>35</v>
      </c>
      <c r="G43" t="s">
        <v>25</v>
      </c>
      <c r="H43">
        <v>20</v>
      </c>
      <c r="I43">
        <v>90</v>
      </c>
      <c r="J43">
        <v>35</v>
      </c>
      <c r="K43">
        <v>7</v>
      </c>
      <c r="L43" t="s">
        <v>48</v>
      </c>
      <c r="M43">
        <v>314</v>
      </c>
      <c r="N43">
        <v>565</v>
      </c>
      <c r="O43">
        <v>314</v>
      </c>
      <c r="P43">
        <v>8</v>
      </c>
      <c r="Q43">
        <v>1</v>
      </c>
      <c r="R43">
        <v>2.4235790000000001</v>
      </c>
      <c r="S43" t="s">
        <v>28</v>
      </c>
      <c r="T43">
        <v>5.1092599999999998E-4</v>
      </c>
      <c r="U43">
        <v>2.384812E-3</v>
      </c>
      <c r="V43">
        <v>7</v>
      </c>
      <c r="W43">
        <v>8</v>
      </c>
      <c r="X43">
        <v>72</v>
      </c>
      <c r="Y43">
        <v>35</v>
      </c>
    </row>
    <row r="44" spans="1:30" x14ac:dyDescent="0.25">
      <c r="A44">
        <v>2.0686869999999901E-3</v>
      </c>
      <c r="B44">
        <v>2.9</v>
      </c>
      <c r="C44">
        <v>11.375</v>
      </c>
      <c r="D44">
        <v>130</v>
      </c>
      <c r="E44">
        <v>25</v>
      </c>
      <c r="F44">
        <v>34</v>
      </c>
      <c r="G44" t="s">
        <v>25</v>
      </c>
      <c r="H44">
        <v>21</v>
      </c>
      <c r="I44">
        <v>92</v>
      </c>
      <c r="J44">
        <v>34</v>
      </c>
      <c r="K44">
        <v>9</v>
      </c>
      <c r="L44" t="s">
        <v>49</v>
      </c>
      <c r="M44">
        <v>329</v>
      </c>
      <c r="N44">
        <v>551</v>
      </c>
      <c r="O44">
        <v>329</v>
      </c>
      <c r="P44">
        <v>10</v>
      </c>
      <c r="Q44">
        <v>1</v>
      </c>
      <c r="R44">
        <v>2.6607259999999999</v>
      </c>
      <c r="S44" t="s">
        <v>27</v>
      </c>
      <c r="T44">
        <v>5.6480500000000004E-4</v>
      </c>
      <c r="U44">
        <v>2.6328329999999998E-3</v>
      </c>
      <c r="V44">
        <v>8</v>
      </c>
      <c r="W44">
        <v>13</v>
      </c>
      <c r="X44">
        <v>67</v>
      </c>
      <c r="Y44">
        <v>34</v>
      </c>
      <c r="AC44">
        <f>U44/U45</f>
        <v>1.160665108140909</v>
      </c>
      <c r="AD44">
        <f t="shared" ref="AD44" si="19">I44-I45</f>
        <v>18</v>
      </c>
    </row>
    <row r="45" spans="1:30" x14ac:dyDescent="0.25">
      <c r="A45">
        <v>1.8263140000000001E-3</v>
      </c>
      <c r="B45">
        <v>3.42631578947368</v>
      </c>
      <c r="C45">
        <v>11.375</v>
      </c>
      <c r="D45">
        <v>130</v>
      </c>
      <c r="E45">
        <v>25</v>
      </c>
      <c r="F45">
        <v>34</v>
      </c>
      <c r="G45" t="s">
        <v>25</v>
      </c>
      <c r="H45">
        <v>21</v>
      </c>
      <c r="I45">
        <v>74</v>
      </c>
      <c r="J45">
        <v>34</v>
      </c>
      <c r="K45">
        <v>12</v>
      </c>
      <c r="L45" t="s">
        <v>49</v>
      </c>
      <c r="M45">
        <v>367</v>
      </c>
      <c r="N45">
        <v>651</v>
      </c>
      <c r="O45">
        <v>367</v>
      </c>
      <c r="P45">
        <v>10</v>
      </c>
      <c r="Q45">
        <v>1</v>
      </c>
      <c r="R45">
        <v>2.2983410000000002</v>
      </c>
      <c r="S45" t="s">
        <v>28</v>
      </c>
      <c r="T45">
        <v>4.4264899999999998E-4</v>
      </c>
      <c r="U45">
        <v>2.2683830000000001E-3</v>
      </c>
      <c r="V45">
        <v>8</v>
      </c>
      <c r="W45">
        <v>17</v>
      </c>
      <c r="X45">
        <v>45</v>
      </c>
      <c r="Y45">
        <v>34</v>
      </c>
    </row>
    <row r="46" spans="1:30" x14ac:dyDescent="0.25">
      <c r="A46">
        <v>1.4870504999999999E-2</v>
      </c>
      <c r="B46">
        <v>4.7421383647798701</v>
      </c>
      <c r="C46">
        <v>15.399999618530201</v>
      </c>
      <c r="D46">
        <v>3202</v>
      </c>
      <c r="E46">
        <v>25</v>
      </c>
      <c r="F46">
        <v>425</v>
      </c>
      <c r="G46" t="s">
        <v>25</v>
      </c>
      <c r="H46">
        <v>22</v>
      </c>
      <c r="I46">
        <v>280</v>
      </c>
      <c r="J46">
        <v>425</v>
      </c>
      <c r="K46">
        <v>56</v>
      </c>
      <c r="L46" t="s">
        <v>50</v>
      </c>
      <c r="M46">
        <v>2828</v>
      </c>
      <c r="N46">
        <v>3770</v>
      </c>
      <c r="O46">
        <v>2828</v>
      </c>
      <c r="P46">
        <v>29</v>
      </c>
      <c r="Q46">
        <v>10</v>
      </c>
      <c r="R46">
        <v>42.650686999999998</v>
      </c>
      <c r="S46" t="s">
        <v>27</v>
      </c>
      <c r="T46">
        <v>2.7663144000000001E-2</v>
      </c>
      <c r="U46">
        <v>4.2533145000000001E-2</v>
      </c>
      <c r="V46">
        <v>25</v>
      </c>
      <c r="W46">
        <v>209</v>
      </c>
      <c r="X46">
        <v>31</v>
      </c>
      <c r="Y46">
        <v>425</v>
      </c>
      <c r="AC46">
        <f>U46/U47</f>
        <v>0.95579682291279855</v>
      </c>
      <c r="AD46">
        <f t="shared" ref="AD46" si="20">I46-I47</f>
        <v>12</v>
      </c>
    </row>
    <row r="47" spans="1:30" x14ac:dyDescent="0.25">
      <c r="A47">
        <v>1.6161520999999901E-2</v>
      </c>
      <c r="B47">
        <v>5.5987421383647797</v>
      </c>
      <c r="C47">
        <v>15.399999618530201</v>
      </c>
      <c r="D47">
        <v>3202</v>
      </c>
      <c r="E47">
        <v>25</v>
      </c>
      <c r="F47">
        <v>425</v>
      </c>
      <c r="G47" t="s">
        <v>25</v>
      </c>
      <c r="H47">
        <v>22</v>
      </c>
      <c r="I47">
        <v>268</v>
      </c>
      <c r="J47">
        <v>425</v>
      </c>
      <c r="K47">
        <v>70</v>
      </c>
      <c r="L47" t="s">
        <v>50</v>
      </c>
      <c r="M47">
        <v>2300</v>
      </c>
      <c r="N47">
        <v>4451</v>
      </c>
      <c r="O47">
        <v>2300</v>
      </c>
      <c r="P47">
        <v>29</v>
      </c>
      <c r="Q47">
        <v>25</v>
      </c>
      <c r="R47">
        <v>44.645617999999999</v>
      </c>
      <c r="S47" t="s">
        <v>28</v>
      </c>
      <c r="T47">
        <v>2.8339243E-2</v>
      </c>
      <c r="U47">
        <v>4.4500194999999999E-2</v>
      </c>
      <c r="V47">
        <v>25</v>
      </c>
      <c r="W47">
        <v>193</v>
      </c>
      <c r="X47">
        <v>20</v>
      </c>
      <c r="Y47">
        <v>425</v>
      </c>
    </row>
    <row r="48" spans="1:30" x14ac:dyDescent="0.25">
      <c r="A48">
        <v>1.426971E-3</v>
      </c>
      <c r="B48">
        <v>1.6004273504273501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56</v>
      </c>
      <c r="J48">
        <v>6</v>
      </c>
      <c r="K48">
        <v>7</v>
      </c>
      <c r="L48" t="s">
        <v>51</v>
      </c>
      <c r="M48">
        <v>242</v>
      </c>
      <c r="N48">
        <v>749</v>
      </c>
      <c r="O48">
        <v>242</v>
      </c>
      <c r="P48">
        <v>6</v>
      </c>
      <c r="Q48">
        <v>1</v>
      </c>
      <c r="R48">
        <v>1.6298600000000001</v>
      </c>
      <c r="S48" t="s">
        <v>27</v>
      </c>
      <c r="T48">
        <v>1.6929299999999999E-4</v>
      </c>
      <c r="U48">
        <v>1.5957670000000001E-3</v>
      </c>
      <c r="V48">
        <v>14</v>
      </c>
      <c r="W48">
        <v>17</v>
      </c>
      <c r="X48">
        <v>31</v>
      </c>
      <c r="Y48">
        <v>6</v>
      </c>
      <c r="AC48">
        <f>U48/U49</f>
        <v>0.72786373642012092</v>
      </c>
      <c r="AD48">
        <f t="shared" ref="AD48" si="21">I48-I49</f>
        <v>-11</v>
      </c>
    </row>
    <row r="49" spans="1:30" x14ac:dyDescent="0.25">
      <c r="A49">
        <v>1.8945769999999999E-3</v>
      </c>
      <c r="B49">
        <v>1.8440170940170899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67</v>
      </c>
      <c r="J49">
        <v>6</v>
      </c>
      <c r="K49">
        <v>7</v>
      </c>
      <c r="L49" t="s">
        <v>51</v>
      </c>
      <c r="M49">
        <v>300</v>
      </c>
      <c r="N49">
        <v>863</v>
      </c>
      <c r="O49">
        <v>300</v>
      </c>
      <c r="P49">
        <v>6</v>
      </c>
      <c r="Q49">
        <v>1</v>
      </c>
      <c r="R49">
        <v>2.2305090000000001</v>
      </c>
      <c r="S49" t="s">
        <v>28</v>
      </c>
      <c r="T49">
        <v>2.98273E-4</v>
      </c>
      <c r="U49">
        <v>2.1923979999999999E-3</v>
      </c>
      <c r="V49">
        <v>14</v>
      </c>
      <c r="W49">
        <v>16</v>
      </c>
      <c r="X49">
        <v>43</v>
      </c>
      <c r="Y49">
        <v>6</v>
      </c>
    </row>
    <row r="50" spans="1:30" s="2" customFormat="1" x14ac:dyDescent="0.25">
      <c r="A50" s="2">
        <v>3.6868797000000002E-2</v>
      </c>
      <c r="B50" s="2">
        <v>4.2839903459372399</v>
      </c>
      <c r="C50" s="2">
        <v>20.931034088134702</v>
      </c>
      <c r="D50" s="2">
        <v>5915</v>
      </c>
      <c r="E50" s="2">
        <v>33</v>
      </c>
      <c r="F50" s="2">
        <v>60</v>
      </c>
      <c r="G50" s="2" t="s">
        <v>25</v>
      </c>
      <c r="H50" s="2">
        <v>24</v>
      </c>
      <c r="I50" s="2">
        <v>256</v>
      </c>
      <c r="J50" s="2">
        <v>60</v>
      </c>
      <c r="K50" s="2">
        <v>21</v>
      </c>
      <c r="L50" s="2" t="s">
        <v>52</v>
      </c>
      <c r="M50" s="2">
        <v>3684</v>
      </c>
      <c r="N50" s="2">
        <v>5325</v>
      </c>
      <c r="O50" s="2">
        <v>3684</v>
      </c>
      <c r="P50" s="2">
        <v>25</v>
      </c>
      <c r="Q50" s="2">
        <v>2</v>
      </c>
      <c r="R50" s="2">
        <v>95.632340999999997</v>
      </c>
      <c r="S50" s="2" t="s">
        <v>27</v>
      </c>
      <c r="T50" s="2">
        <v>5.8576674000000002E-2</v>
      </c>
      <c r="U50" s="2">
        <v>9.5444847999999999E-2</v>
      </c>
      <c r="V50" s="2">
        <v>29</v>
      </c>
      <c r="W50" s="2">
        <v>105</v>
      </c>
      <c r="X50" s="2">
        <v>123</v>
      </c>
      <c r="Y50" s="2">
        <v>60</v>
      </c>
      <c r="AC50" s="2">
        <f>U50/U51</f>
        <v>1.2537938737257246</v>
      </c>
      <c r="AD50" s="2">
        <f t="shared" ref="AD50" si="22">I50-I51</f>
        <v>70</v>
      </c>
    </row>
    <row r="51" spans="1:30" x14ac:dyDescent="0.25">
      <c r="A51">
        <v>2.7538727999999998E-2</v>
      </c>
      <c r="B51">
        <v>4.6886564762670897</v>
      </c>
      <c r="C51">
        <v>20.931034088134702</v>
      </c>
      <c r="D51">
        <v>5915</v>
      </c>
      <c r="E51">
        <v>33</v>
      </c>
      <c r="F51">
        <v>60</v>
      </c>
      <c r="G51" t="s">
        <v>25</v>
      </c>
      <c r="H51">
        <v>24</v>
      </c>
      <c r="I51">
        <v>186</v>
      </c>
      <c r="J51">
        <v>60</v>
      </c>
      <c r="K51">
        <v>23</v>
      </c>
      <c r="L51" t="s">
        <v>52</v>
      </c>
      <c r="M51">
        <v>3459</v>
      </c>
      <c r="N51">
        <v>5828</v>
      </c>
      <c r="O51">
        <v>3459</v>
      </c>
      <c r="P51">
        <v>25</v>
      </c>
      <c r="Q51">
        <v>1</v>
      </c>
      <c r="R51">
        <v>76.318472</v>
      </c>
      <c r="S51" t="s">
        <v>28</v>
      </c>
      <c r="T51">
        <v>4.8586671999999997E-2</v>
      </c>
      <c r="U51">
        <v>7.6124832000000003E-2</v>
      </c>
      <c r="V51">
        <v>29</v>
      </c>
      <c r="W51">
        <v>98</v>
      </c>
      <c r="X51">
        <v>61</v>
      </c>
      <c r="Y51">
        <v>60</v>
      </c>
    </row>
    <row r="52" spans="1:30" x14ac:dyDescent="0.25">
      <c r="A52">
        <v>1.9114112999999999E-2</v>
      </c>
      <c r="B52">
        <v>4.1764102564102501</v>
      </c>
      <c r="C52">
        <v>19</v>
      </c>
      <c r="D52">
        <v>3735</v>
      </c>
      <c r="E52">
        <v>33</v>
      </c>
      <c r="F52">
        <v>48</v>
      </c>
      <c r="G52" t="s">
        <v>25</v>
      </c>
      <c r="H52">
        <v>25</v>
      </c>
      <c r="I52">
        <v>234</v>
      </c>
      <c r="J52">
        <v>48</v>
      </c>
      <c r="K52">
        <v>20</v>
      </c>
      <c r="L52" t="s">
        <v>53</v>
      </c>
      <c r="M52">
        <v>2758</v>
      </c>
      <c r="N52">
        <v>4072</v>
      </c>
      <c r="O52">
        <v>2758</v>
      </c>
      <c r="P52">
        <v>48</v>
      </c>
      <c r="Q52">
        <v>1</v>
      </c>
      <c r="R52">
        <v>43.562100999999998</v>
      </c>
      <c r="S52" t="s">
        <v>27</v>
      </c>
      <c r="T52">
        <v>2.4235263E-2</v>
      </c>
      <c r="U52">
        <v>4.3348865E-2</v>
      </c>
      <c r="V52">
        <v>25</v>
      </c>
      <c r="W52">
        <v>85</v>
      </c>
      <c r="X52">
        <v>99</v>
      </c>
      <c r="Y52">
        <v>48</v>
      </c>
      <c r="AC52">
        <f>U52/U53</f>
        <v>1.1887581232903615</v>
      </c>
      <c r="AD52">
        <f t="shared" ref="AD52" si="23">I52-I53</f>
        <v>59</v>
      </c>
    </row>
    <row r="53" spans="1:30" x14ac:dyDescent="0.25">
      <c r="A53">
        <v>1.4280348999999999E-2</v>
      </c>
      <c r="B53">
        <v>4.4020512820512803</v>
      </c>
      <c r="C53">
        <v>19</v>
      </c>
      <c r="D53">
        <v>3735</v>
      </c>
      <c r="E53">
        <v>33</v>
      </c>
      <c r="F53">
        <v>48</v>
      </c>
      <c r="G53" t="s">
        <v>25</v>
      </c>
      <c r="H53">
        <v>25</v>
      </c>
      <c r="I53">
        <v>175</v>
      </c>
      <c r="J53">
        <v>48</v>
      </c>
      <c r="K53">
        <v>23</v>
      </c>
      <c r="L53" t="s">
        <v>53</v>
      </c>
      <c r="M53">
        <v>2473</v>
      </c>
      <c r="N53">
        <v>4292</v>
      </c>
      <c r="O53">
        <v>2473</v>
      </c>
      <c r="P53">
        <v>48</v>
      </c>
      <c r="Q53">
        <v>1</v>
      </c>
      <c r="R53">
        <v>36.615313</v>
      </c>
      <c r="S53" t="s">
        <v>28</v>
      </c>
      <c r="T53">
        <v>2.2185905999999998E-2</v>
      </c>
      <c r="U53">
        <v>3.6465672999999997E-2</v>
      </c>
      <c r="V53">
        <v>25</v>
      </c>
      <c r="W53">
        <v>77</v>
      </c>
      <c r="X53">
        <v>48</v>
      </c>
      <c r="Y53">
        <v>48</v>
      </c>
    </row>
    <row r="54" spans="1:30" x14ac:dyDescent="0.25">
      <c r="A54">
        <v>1.7966547999999999E-2</v>
      </c>
      <c r="B54">
        <v>4.1953551912568301</v>
      </c>
      <c r="C54">
        <v>22.375</v>
      </c>
      <c r="D54">
        <v>2061</v>
      </c>
      <c r="E54">
        <v>33</v>
      </c>
      <c r="F54">
        <v>18</v>
      </c>
      <c r="G54" t="s">
        <v>25</v>
      </c>
      <c r="H54">
        <v>26</v>
      </c>
      <c r="I54">
        <v>237</v>
      </c>
      <c r="J54">
        <v>18</v>
      </c>
      <c r="K54">
        <v>16</v>
      </c>
      <c r="L54" t="s">
        <v>54</v>
      </c>
      <c r="M54">
        <v>2133</v>
      </c>
      <c r="N54">
        <v>3071</v>
      </c>
      <c r="O54">
        <v>2133</v>
      </c>
      <c r="P54">
        <v>18</v>
      </c>
      <c r="Q54">
        <v>2</v>
      </c>
      <c r="R54">
        <v>39.743775999999997</v>
      </c>
      <c r="S54" t="s">
        <v>27</v>
      </c>
      <c r="T54">
        <v>2.1615222E-2</v>
      </c>
      <c r="U54">
        <v>3.9580905E-2</v>
      </c>
      <c r="V54">
        <v>16</v>
      </c>
      <c r="W54">
        <v>75</v>
      </c>
      <c r="X54">
        <v>141</v>
      </c>
      <c r="Y54">
        <v>18</v>
      </c>
      <c r="AC54">
        <f>U54/U55</f>
        <v>1.1109545699578594</v>
      </c>
      <c r="AD54">
        <f t="shared" ref="AD54" si="24">I54-I55</f>
        <v>22</v>
      </c>
    </row>
    <row r="55" spans="1:30" x14ac:dyDescent="0.25">
      <c r="A55">
        <v>1.55799729999999E-2</v>
      </c>
      <c r="B55">
        <v>4.4740437158469897</v>
      </c>
      <c r="C55">
        <v>22.375</v>
      </c>
      <c r="D55">
        <v>2061</v>
      </c>
      <c r="E55">
        <v>33</v>
      </c>
      <c r="F55">
        <v>18</v>
      </c>
      <c r="G55" t="s">
        <v>25</v>
      </c>
      <c r="H55">
        <v>26</v>
      </c>
      <c r="I55">
        <v>215</v>
      </c>
      <c r="J55">
        <v>18</v>
      </c>
      <c r="K55">
        <v>17</v>
      </c>
      <c r="L55" t="s">
        <v>54</v>
      </c>
      <c r="M55">
        <v>2048</v>
      </c>
      <c r="N55">
        <v>3275</v>
      </c>
      <c r="O55">
        <v>2048</v>
      </c>
      <c r="P55">
        <v>18</v>
      </c>
      <c r="Q55">
        <v>1</v>
      </c>
      <c r="R55">
        <v>35.745334999999997</v>
      </c>
      <c r="S55" t="s">
        <v>28</v>
      </c>
      <c r="T55">
        <v>2.0048347000000001E-2</v>
      </c>
      <c r="U55">
        <v>3.5627833999999997E-2</v>
      </c>
      <c r="V55">
        <v>16</v>
      </c>
      <c r="W55">
        <v>74</v>
      </c>
      <c r="X55">
        <v>121</v>
      </c>
      <c r="Y55">
        <v>18</v>
      </c>
    </row>
    <row r="56" spans="1:30" x14ac:dyDescent="0.25">
      <c r="A56">
        <v>7.518533E-3</v>
      </c>
      <c r="B56">
        <v>2.9347826086956501</v>
      </c>
      <c r="C56">
        <v>19.214284896850501</v>
      </c>
      <c r="D56">
        <v>1175</v>
      </c>
      <c r="E56">
        <v>33</v>
      </c>
      <c r="F56">
        <v>18</v>
      </c>
      <c r="G56" t="s">
        <v>25</v>
      </c>
      <c r="H56">
        <v>27</v>
      </c>
      <c r="I56">
        <v>158</v>
      </c>
      <c r="J56">
        <v>18</v>
      </c>
      <c r="K56">
        <v>15</v>
      </c>
      <c r="L56" t="s">
        <v>55</v>
      </c>
      <c r="M56">
        <v>977</v>
      </c>
      <c r="N56">
        <v>1620</v>
      </c>
      <c r="O56">
        <v>977</v>
      </c>
      <c r="P56">
        <v>18</v>
      </c>
      <c r="Q56">
        <v>1</v>
      </c>
      <c r="R56">
        <v>10.620801</v>
      </c>
      <c r="S56" t="s">
        <v>27</v>
      </c>
      <c r="T56">
        <v>3.058584E-3</v>
      </c>
      <c r="U56">
        <v>1.0576360999999999E-2</v>
      </c>
      <c r="V56">
        <v>14</v>
      </c>
      <c r="W56">
        <v>36</v>
      </c>
      <c r="X56">
        <v>102</v>
      </c>
      <c r="Y56">
        <v>18</v>
      </c>
      <c r="AC56">
        <f>U56/U57</f>
        <v>0.89243955839588107</v>
      </c>
      <c r="AD56">
        <f t="shared" ref="AD56" si="25">I56-I57</f>
        <v>-7</v>
      </c>
    </row>
    <row r="57" spans="1:30" x14ac:dyDescent="0.25">
      <c r="A57">
        <v>7.5564589999999997E-3</v>
      </c>
      <c r="B57">
        <v>3.01449275362318</v>
      </c>
      <c r="C57">
        <v>19.214284896850501</v>
      </c>
      <c r="D57">
        <v>1175</v>
      </c>
      <c r="E57">
        <v>33</v>
      </c>
      <c r="F57">
        <v>18</v>
      </c>
      <c r="G57" t="s">
        <v>25</v>
      </c>
      <c r="H57">
        <v>27</v>
      </c>
      <c r="I57">
        <v>165</v>
      </c>
      <c r="J57">
        <v>18</v>
      </c>
      <c r="K57">
        <v>12</v>
      </c>
      <c r="L57" t="s">
        <v>55</v>
      </c>
      <c r="M57">
        <v>908</v>
      </c>
      <c r="N57">
        <v>1664</v>
      </c>
      <c r="O57">
        <v>908</v>
      </c>
      <c r="P57">
        <v>18</v>
      </c>
      <c r="Q57">
        <v>1</v>
      </c>
      <c r="R57">
        <v>11.927688</v>
      </c>
      <c r="S57" t="s">
        <v>28</v>
      </c>
      <c r="T57">
        <v>4.2954270000000001E-3</v>
      </c>
      <c r="U57">
        <v>1.1851067E-2</v>
      </c>
      <c r="V57">
        <v>14</v>
      </c>
      <c r="W57">
        <v>32</v>
      </c>
      <c r="X57">
        <v>113</v>
      </c>
      <c r="Y57">
        <v>18</v>
      </c>
    </row>
    <row r="58" spans="1:30" x14ac:dyDescent="0.25">
      <c r="A58">
        <v>8.2639930000000007E-3</v>
      </c>
      <c r="B58">
        <v>3.24050632911392</v>
      </c>
      <c r="C58">
        <v>19.25</v>
      </c>
      <c r="D58">
        <v>876</v>
      </c>
      <c r="E58">
        <v>33</v>
      </c>
      <c r="F58">
        <v>19</v>
      </c>
      <c r="G58" t="s">
        <v>25</v>
      </c>
      <c r="H58">
        <v>28</v>
      </c>
      <c r="I58">
        <v>247</v>
      </c>
      <c r="J58">
        <v>19</v>
      </c>
      <c r="K58">
        <v>14</v>
      </c>
      <c r="L58" t="s">
        <v>56</v>
      </c>
      <c r="M58">
        <v>977</v>
      </c>
      <c r="N58">
        <v>1536</v>
      </c>
      <c r="O58">
        <v>977</v>
      </c>
      <c r="P58">
        <v>19</v>
      </c>
      <c r="Q58">
        <v>4</v>
      </c>
      <c r="R58">
        <v>14.244909</v>
      </c>
      <c r="S58" t="s">
        <v>27</v>
      </c>
      <c r="T58">
        <v>5.9153449999999998E-3</v>
      </c>
      <c r="U58">
        <v>1.4178733000000001E-2</v>
      </c>
      <c r="V58">
        <v>12</v>
      </c>
      <c r="W58">
        <v>39</v>
      </c>
      <c r="X58">
        <v>184</v>
      </c>
      <c r="Y58">
        <v>19</v>
      </c>
      <c r="AC58">
        <f>U58/U59</f>
        <v>1.6338365992051562</v>
      </c>
      <c r="AD58">
        <f t="shared" ref="AD58" si="26">I58-I59</f>
        <v>94</v>
      </c>
    </row>
    <row r="59" spans="1:30" x14ac:dyDescent="0.25">
      <c r="A59">
        <v>5.3782329999999996E-3</v>
      </c>
      <c r="B59">
        <v>3.1244725738396601</v>
      </c>
      <c r="C59">
        <v>19.25</v>
      </c>
      <c r="D59">
        <v>876</v>
      </c>
      <c r="E59">
        <v>33</v>
      </c>
      <c r="F59">
        <v>19</v>
      </c>
      <c r="G59" t="s">
        <v>25</v>
      </c>
      <c r="H59">
        <v>28</v>
      </c>
      <c r="I59">
        <v>153</v>
      </c>
      <c r="J59">
        <v>19</v>
      </c>
      <c r="K59">
        <v>14</v>
      </c>
      <c r="L59" t="s">
        <v>56</v>
      </c>
      <c r="M59">
        <v>829</v>
      </c>
      <c r="N59">
        <v>1481</v>
      </c>
      <c r="O59">
        <v>829</v>
      </c>
      <c r="P59">
        <v>19</v>
      </c>
      <c r="Q59">
        <v>1</v>
      </c>
      <c r="R59">
        <v>8.7570420000000002</v>
      </c>
      <c r="S59" t="s">
        <v>28</v>
      </c>
      <c r="T59">
        <v>3.3009110000000001E-3</v>
      </c>
      <c r="U59">
        <v>8.6781830000000008E-3</v>
      </c>
      <c r="V59">
        <v>12</v>
      </c>
      <c r="W59">
        <v>33</v>
      </c>
      <c r="X59">
        <v>99</v>
      </c>
      <c r="Y59">
        <v>19</v>
      </c>
    </row>
    <row r="60" spans="1:30" x14ac:dyDescent="0.25">
      <c r="A60">
        <v>2.7082389999999999E-3</v>
      </c>
      <c r="B60">
        <v>2.1307189542483602</v>
      </c>
      <c r="C60">
        <v>18.625</v>
      </c>
      <c r="D60">
        <v>307</v>
      </c>
      <c r="E60">
        <v>33</v>
      </c>
      <c r="F60">
        <v>11</v>
      </c>
      <c r="G60" t="s">
        <v>25</v>
      </c>
      <c r="H60">
        <v>29</v>
      </c>
      <c r="I60">
        <v>112</v>
      </c>
      <c r="J60">
        <v>11</v>
      </c>
      <c r="K60">
        <v>9</v>
      </c>
      <c r="L60" t="s">
        <v>57</v>
      </c>
      <c r="M60">
        <v>323</v>
      </c>
      <c r="N60">
        <v>652</v>
      </c>
      <c r="O60">
        <v>323</v>
      </c>
      <c r="P60">
        <v>11</v>
      </c>
      <c r="Q60">
        <v>1</v>
      </c>
      <c r="R60">
        <v>3.4474399999999998</v>
      </c>
      <c r="S60" t="s">
        <v>27</v>
      </c>
      <c r="T60">
        <v>7.1031800000000004E-4</v>
      </c>
      <c r="U60">
        <v>3.4180389999999999E-3</v>
      </c>
      <c r="V60">
        <v>8</v>
      </c>
      <c r="W60">
        <v>9</v>
      </c>
      <c r="X60">
        <v>90</v>
      </c>
      <c r="Y60">
        <v>11</v>
      </c>
      <c r="AC60">
        <f>U60/U61</f>
        <v>1.2653386315544755</v>
      </c>
      <c r="AD60">
        <f t="shared" ref="AD60" si="27">I60-I61</f>
        <v>7</v>
      </c>
    </row>
    <row r="61" spans="1:30" x14ac:dyDescent="0.25">
      <c r="A61">
        <v>2.1536709999999998E-3</v>
      </c>
      <c r="B61">
        <v>2.2516339869281001</v>
      </c>
      <c r="C61">
        <v>18.625</v>
      </c>
      <c r="D61">
        <v>307</v>
      </c>
      <c r="E61">
        <v>33</v>
      </c>
      <c r="F61">
        <v>11</v>
      </c>
      <c r="G61" t="s">
        <v>25</v>
      </c>
      <c r="H61">
        <v>29</v>
      </c>
      <c r="I61">
        <v>105</v>
      </c>
      <c r="J61">
        <v>11</v>
      </c>
      <c r="K61">
        <v>10</v>
      </c>
      <c r="L61" t="s">
        <v>57</v>
      </c>
      <c r="M61">
        <v>327</v>
      </c>
      <c r="N61">
        <v>689</v>
      </c>
      <c r="O61">
        <v>327</v>
      </c>
      <c r="P61">
        <v>11</v>
      </c>
      <c r="Q61">
        <v>1</v>
      </c>
      <c r="R61">
        <v>2.7307929999999998</v>
      </c>
      <c r="S61" t="s">
        <v>28</v>
      </c>
      <c r="T61">
        <v>5.4814399999999998E-4</v>
      </c>
      <c r="U61">
        <v>2.701284E-3</v>
      </c>
      <c r="V61">
        <v>8</v>
      </c>
      <c r="W61">
        <v>9</v>
      </c>
      <c r="X61">
        <v>83</v>
      </c>
      <c r="Y61">
        <v>11</v>
      </c>
    </row>
    <row r="62" spans="1:30" x14ac:dyDescent="0.25">
      <c r="A62">
        <v>1.3579159999999901E-3</v>
      </c>
      <c r="B62">
        <v>2.1238095238095198</v>
      </c>
      <c r="C62">
        <v>12.625</v>
      </c>
      <c r="D62">
        <v>126</v>
      </c>
      <c r="E62">
        <v>33</v>
      </c>
      <c r="F62">
        <v>10</v>
      </c>
      <c r="G62" t="s">
        <v>25</v>
      </c>
      <c r="H62">
        <v>30</v>
      </c>
      <c r="I62">
        <v>64</v>
      </c>
      <c r="J62">
        <v>10</v>
      </c>
      <c r="K62">
        <v>6</v>
      </c>
      <c r="L62" t="s">
        <v>58</v>
      </c>
      <c r="M62">
        <v>219</v>
      </c>
      <c r="N62">
        <v>446</v>
      </c>
      <c r="O62">
        <v>219</v>
      </c>
      <c r="P62">
        <v>10</v>
      </c>
      <c r="Q62">
        <v>1</v>
      </c>
      <c r="R62">
        <v>1.6149629999999999</v>
      </c>
      <c r="S62" t="s">
        <v>27</v>
      </c>
      <c r="T62">
        <v>2.3564899999999999E-4</v>
      </c>
      <c r="U62">
        <v>1.593117E-3</v>
      </c>
      <c r="V62">
        <v>8</v>
      </c>
      <c r="W62">
        <v>6</v>
      </c>
      <c r="X62">
        <v>46</v>
      </c>
      <c r="Y62">
        <v>10</v>
      </c>
      <c r="AC62">
        <f>U62/U63</f>
        <v>0.64819876635635709</v>
      </c>
      <c r="AD62">
        <f t="shared" ref="AD62" si="28">I62-I63</f>
        <v>-31</v>
      </c>
    </row>
    <row r="63" spans="1:30" x14ac:dyDescent="0.25">
      <c r="A63">
        <v>2.0343779999999999E-3</v>
      </c>
      <c r="B63">
        <v>2.32380952380952</v>
      </c>
      <c r="C63">
        <v>12.625</v>
      </c>
      <c r="D63">
        <v>126</v>
      </c>
      <c r="E63">
        <v>33</v>
      </c>
      <c r="F63">
        <v>10</v>
      </c>
      <c r="G63" t="s">
        <v>25</v>
      </c>
      <c r="H63">
        <v>30</v>
      </c>
      <c r="I63">
        <v>95</v>
      </c>
      <c r="J63">
        <v>10</v>
      </c>
      <c r="K63">
        <v>7</v>
      </c>
      <c r="L63" t="s">
        <v>58</v>
      </c>
      <c r="M63">
        <v>227</v>
      </c>
      <c r="N63">
        <v>488</v>
      </c>
      <c r="O63">
        <v>227</v>
      </c>
      <c r="P63">
        <v>10</v>
      </c>
      <c r="Q63">
        <v>1</v>
      </c>
      <c r="R63">
        <v>2.4892889999999999</v>
      </c>
      <c r="S63" t="s">
        <v>28</v>
      </c>
      <c r="T63">
        <v>4.2398300000000001E-4</v>
      </c>
      <c r="U63">
        <v>2.4577599999999998E-3</v>
      </c>
      <c r="V63">
        <v>8</v>
      </c>
      <c r="W63">
        <v>6</v>
      </c>
      <c r="X63">
        <v>77</v>
      </c>
      <c r="Y63">
        <v>10</v>
      </c>
    </row>
    <row r="64" spans="1:30" x14ac:dyDescent="0.25">
      <c r="A64">
        <v>8.8276413999999095E-2</v>
      </c>
      <c r="B64">
        <v>17.725703905540399</v>
      </c>
      <c r="C64">
        <v>19.888889312744102</v>
      </c>
      <c r="D64">
        <v>4862</v>
      </c>
      <c r="E64">
        <v>33</v>
      </c>
      <c r="F64">
        <v>146</v>
      </c>
      <c r="G64" t="s">
        <v>25</v>
      </c>
      <c r="H64">
        <v>31</v>
      </c>
      <c r="I64">
        <v>380</v>
      </c>
      <c r="J64">
        <v>146</v>
      </c>
      <c r="K64">
        <v>98</v>
      </c>
      <c r="L64" t="s">
        <v>59</v>
      </c>
      <c r="M64">
        <v>15816</v>
      </c>
      <c r="N64">
        <v>19516</v>
      </c>
      <c r="O64">
        <v>15816</v>
      </c>
      <c r="P64">
        <v>73</v>
      </c>
      <c r="Q64">
        <v>3</v>
      </c>
      <c r="R64">
        <v>10907.254561</v>
      </c>
      <c r="S64" t="s">
        <v>27</v>
      </c>
      <c r="T64">
        <v>10.818016322</v>
      </c>
      <c r="U64">
        <v>10.906292198999999</v>
      </c>
      <c r="V64">
        <v>27</v>
      </c>
      <c r="W64">
        <v>285</v>
      </c>
      <c r="X64">
        <v>18</v>
      </c>
      <c r="Y64">
        <v>146</v>
      </c>
      <c r="AC64">
        <f>U64/U65</f>
        <v>1.0685237340284761</v>
      </c>
      <c r="AD64">
        <f t="shared" ref="AD64" si="29">I64-I65</f>
        <v>17</v>
      </c>
    </row>
    <row r="65" spans="1:30" x14ac:dyDescent="0.25">
      <c r="A65">
        <v>9.2607877000000699E-2</v>
      </c>
      <c r="B65">
        <v>22.235240690281501</v>
      </c>
      <c r="C65">
        <v>19.888889312744102</v>
      </c>
      <c r="D65">
        <v>4862</v>
      </c>
      <c r="E65">
        <v>33</v>
      </c>
      <c r="F65">
        <v>146</v>
      </c>
      <c r="G65" t="s">
        <v>25</v>
      </c>
      <c r="H65">
        <v>31</v>
      </c>
      <c r="I65">
        <v>363</v>
      </c>
      <c r="J65">
        <v>146</v>
      </c>
      <c r="K65">
        <v>104</v>
      </c>
      <c r="L65" t="s">
        <v>59</v>
      </c>
      <c r="M65">
        <v>14981</v>
      </c>
      <c r="N65">
        <v>24481</v>
      </c>
      <c r="O65">
        <v>14981</v>
      </c>
      <c r="P65">
        <v>73</v>
      </c>
      <c r="Q65">
        <v>1</v>
      </c>
      <c r="R65">
        <v>10207.803027</v>
      </c>
      <c r="S65" t="s">
        <v>28</v>
      </c>
      <c r="T65">
        <v>10.114271478999999</v>
      </c>
      <c r="U65">
        <v>10.206878754</v>
      </c>
      <c r="V65">
        <v>27</v>
      </c>
      <c r="W65">
        <v>262</v>
      </c>
      <c r="X65">
        <v>26</v>
      </c>
      <c r="Y65">
        <v>146</v>
      </c>
    </row>
    <row r="66" spans="1:30" x14ac:dyDescent="0.25">
      <c r="A66">
        <v>1.1966164E-2</v>
      </c>
      <c r="B66">
        <v>4.1228710462287097</v>
      </c>
      <c r="C66">
        <v>20.049999237060501</v>
      </c>
      <c r="D66">
        <v>2616</v>
      </c>
      <c r="E66">
        <v>33</v>
      </c>
      <c r="F66">
        <v>43</v>
      </c>
      <c r="G66" t="s">
        <v>25</v>
      </c>
      <c r="H66">
        <v>32</v>
      </c>
      <c r="I66">
        <v>176</v>
      </c>
      <c r="J66">
        <v>43</v>
      </c>
      <c r="K66">
        <v>16</v>
      </c>
      <c r="L66" t="s">
        <v>60</v>
      </c>
      <c r="M66">
        <v>2285</v>
      </c>
      <c r="N66">
        <v>3389</v>
      </c>
      <c r="O66">
        <v>2285</v>
      </c>
      <c r="P66">
        <v>43</v>
      </c>
      <c r="Q66">
        <v>1</v>
      </c>
      <c r="R66">
        <v>23.964748</v>
      </c>
      <c r="S66" t="s">
        <v>27</v>
      </c>
      <c r="T66">
        <v>1.1888954E-2</v>
      </c>
      <c r="U66">
        <v>2.3854579000000001E-2</v>
      </c>
      <c r="V66">
        <v>20</v>
      </c>
      <c r="W66">
        <v>90</v>
      </c>
      <c r="X66">
        <v>41</v>
      </c>
      <c r="Y66">
        <v>43</v>
      </c>
      <c r="AC66">
        <f>U66/U67</f>
        <v>0.48233300595578044</v>
      </c>
      <c r="AD66">
        <f t="shared" ref="AD66" si="30">I66-I67</f>
        <v>-84</v>
      </c>
    </row>
    <row r="67" spans="1:30" x14ac:dyDescent="0.25">
      <c r="A67">
        <v>2.23003689999999E-2</v>
      </c>
      <c r="B67">
        <v>5.1569343065693403</v>
      </c>
      <c r="C67">
        <v>20.049999237060501</v>
      </c>
      <c r="D67">
        <v>2616</v>
      </c>
      <c r="E67">
        <v>33</v>
      </c>
      <c r="F67">
        <v>43</v>
      </c>
      <c r="G67" t="s">
        <v>25</v>
      </c>
      <c r="H67">
        <v>32</v>
      </c>
      <c r="I67">
        <v>260</v>
      </c>
      <c r="J67">
        <v>43</v>
      </c>
      <c r="K67">
        <v>22</v>
      </c>
      <c r="L67" t="s">
        <v>60</v>
      </c>
      <c r="M67">
        <v>2615</v>
      </c>
      <c r="N67">
        <v>4239</v>
      </c>
      <c r="O67">
        <v>2615</v>
      </c>
      <c r="P67">
        <v>43</v>
      </c>
      <c r="Q67">
        <v>5</v>
      </c>
      <c r="R67">
        <v>49.601909999999997</v>
      </c>
      <c r="S67" t="s">
        <v>28</v>
      </c>
      <c r="T67">
        <v>2.7156823E-2</v>
      </c>
      <c r="U67">
        <v>4.9456659E-2</v>
      </c>
      <c r="V67">
        <v>20</v>
      </c>
      <c r="W67">
        <v>99</v>
      </c>
      <c r="X67">
        <v>112</v>
      </c>
      <c r="Y67">
        <v>43</v>
      </c>
    </row>
    <row r="68" spans="1:30" x14ac:dyDescent="0.25">
      <c r="A68">
        <v>5.9346249999999998E-3</v>
      </c>
      <c r="B68">
        <v>2.9133858267716501</v>
      </c>
      <c r="C68">
        <v>18.176469802856399</v>
      </c>
      <c r="D68">
        <v>1632</v>
      </c>
      <c r="E68">
        <v>33</v>
      </c>
      <c r="F68">
        <v>33</v>
      </c>
      <c r="G68" t="s">
        <v>25</v>
      </c>
      <c r="H68">
        <v>33</v>
      </c>
      <c r="I68">
        <v>125</v>
      </c>
      <c r="J68">
        <v>33</v>
      </c>
      <c r="K68">
        <v>15</v>
      </c>
      <c r="L68" t="s">
        <v>61</v>
      </c>
      <c r="M68">
        <v>1086</v>
      </c>
      <c r="N68">
        <v>1850</v>
      </c>
      <c r="O68">
        <v>1086</v>
      </c>
      <c r="P68">
        <v>19</v>
      </c>
      <c r="Q68">
        <v>2</v>
      </c>
      <c r="R68">
        <v>9.3152679999999997</v>
      </c>
      <c r="S68" t="s">
        <v>27</v>
      </c>
      <c r="T68">
        <v>3.3345710000000001E-3</v>
      </c>
      <c r="U68">
        <v>9.2685579999999997E-3</v>
      </c>
      <c r="V68">
        <v>17</v>
      </c>
      <c r="W68">
        <v>47</v>
      </c>
      <c r="X68">
        <v>56</v>
      </c>
      <c r="Y68">
        <v>33</v>
      </c>
      <c r="AC68">
        <f>U68/U69</f>
        <v>1.3821816964408875</v>
      </c>
      <c r="AD68">
        <f t="shared" ref="AD68" si="31">I68-I69</f>
        <v>22</v>
      </c>
    </row>
    <row r="69" spans="1:30" x14ac:dyDescent="0.25">
      <c r="A69">
        <v>4.671082E-3</v>
      </c>
      <c r="B69">
        <v>2.9811023622047199</v>
      </c>
      <c r="C69">
        <v>18.176469802856399</v>
      </c>
      <c r="D69">
        <v>1632</v>
      </c>
      <c r="E69">
        <v>33</v>
      </c>
      <c r="F69">
        <v>33</v>
      </c>
      <c r="G69" t="s">
        <v>25</v>
      </c>
      <c r="H69">
        <v>33</v>
      </c>
      <c r="I69">
        <v>103</v>
      </c>
      <c r="J69">
        <v>33</v>
      </c>
      <c r="K69">
        <v>13</v>
      </c>
      <c r="L69" t="s">
        <v>61</v>
      </c>
      <c r="M69">
        <v>961</v>
      </c>
      <c r="N69">
        <v>1893</v>
      </c>
      <c r="O69">
        <v>961</v>
      </c>
      <c r="P69">
        <v>19</v>
      </c>
      <c r="Q69">
        <v>1</v>
      </c>
      <c r="R69">
        <v>6.7978170000000002</v>
      </c>
      <c r="S69" t="s">
        <v>28</v>
      </c>
      <c r="T69">
        <v>2.0352059999999999E-3</v>
      </c>
      <c r="U69">
        <v>6.7057449999999999E-3</v>
      </c>
      <c r="V69">
        <v>17</v>
      </c>
      <c r="W69">
        <v>40</v>
      </c>
      <c r="X69">
        <v>42</v>
      </c>
      <c r="Y69">
        <v>33</v>
      </c>
    </row>
    <row r="70" spans="1:30" x14ac:dyDescent="0.25">
      <c r="A70">
        <v>8.8371331000004702E-2</v>
      </c>
      <c r="B70">
        <v>22.6524239934264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350</v>
      </c>
      <c r="J70">
        <v>97</v>
      </c>
      <c r="K70">
        <v>218</v>
      </c>
      <c r="L70" t="s">
        <v>62</v>
      </c>
      <c r="M70">
        <v>22262</v>
      </c>
      <c r="N70">
        <v>27568</v>
      </c>
      <c r="O70">
        <v>22262</v>
      </c>
      <c r="P70">
        <v>97</v>
      </c>
      <c r="Q70">
        <v>1</v>
      </c>
      <c r="R70">
        <v>120000</v>
      </c>
      <c r="S70" t="s">
        <v>27</v>
      </c>
      <c r="T70">
        <v>124.265931068</v>
      </c>
      <c r="U70">
        <v>124.354301818</v>
      </c>
      <c r="V70">
        <v>29</v>
      </c>
      <c r="W70">
        <v>251</v>
      </c>
      <c r="X70">
        <v>0</v>
      </c>
      <c r="Y70">
        <v>2147483647</v>
      </c>
      <c r="AC70">
        <f>U70/U71</f>
        <v>1.0146802376944881</v>
      </c>
      <c r="AD70">
        <f t="shared" ref="AD70" si="32">I70-I71</f>
        <v>42</v>
      </c>
    </row>
    <row r="71" spans="1:30" x14ac:dyDescent="0.25">
      <c r="A71">
        <v>7.9299477000006294E-2</v>
      </c>
      <c r="B71">
        <v>27.179950698438699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308</v>
      </c>
      <c r="J71">
        <v>96</v>
      </c>
      <c r="K71">
        <v>246</v>
      </c>
      <c r="L71" t="s">
        <v>62</v>
      </c>
      <c r="M71">
        <v>18335</v>
      </c>
      <c r="N71">
        <v>33078</v>
      </c>
      <c r="O71">
        <v>18335</v>
      </c>
      <c r="P71">
        <v>96</v>
      </c>
      <c r="Q71">
        <v>1</v>
      </c>
      <c r="R71">
        <v>120000</v>
      </c>
      <c r="S71" t="s">
        <v>28</v>
      </c>
      <c r="T71">
        <v>122.475863941</v>
      </c>
      <c r="U71">
        <v>122.555162896</v>
      </c>
      <c r="V71">
        <v>29</v>
      </c>
      <c r="W71">
        <v>211</v>
      </c>
      <c r="X71">
        <v>0</v>
      </c>
      <c r="Y71">
        <v>2147483647</v>
      </c>
    </row>
    <row r="72" spans="1:30" x14ac:dyDescent="0.25">
      <c r="A72">
        <v>6.9036741999994405E-2</v>
      </c>
      <c r="B72">
        <v>18.689710610932401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290</v>
      </c>
      <c r="J72">
        <v>102</v>
      </c>
      <c r="K72">
        <v>176</v>
      </c>
      <c r="L72" t="s">
        <v>63</v>
      </c>
      <c r="M72">
        <v>18522</v>
      </c>
      <c r="N72">
        <v>23250</v>
      </c>
      <c r="O72">
        <v>18522</v>
      </c>
      <c r="P72">
        <v>102</v>
      </c>
      <c r="Q72">
        <v>1</v>
      </c>
      <c r="R72">
        <v>120000</v>
      </c>
      <c r="S72" t="s">
        <v>27</v>
      </c>
      <c r="T72">
        <v>123.39540898</v>
      </c>
      <c r="U72">
        <v>123.46444510000001</v>
      </c>
      <c r="V72">
        <v>28</v>
      </c>
      <c r="W72">
        <v>186</v>
      </c>
      <c r="X72">
        <v>0</v>
      </c>
      <c r="Y72">
        <v>2147483647</v>
      </c>
      <c r="AC72">
        <f>U72/U73</f>
        <v>1.0167106609470258</v>
      </c>
      <c r="AD72">
        <f t="shared" ref="AD72" si="33">I72-I73</f>
        <v>23</v>
      </c>
    </row>
    <row r="73" spans="1:30" x14ac:dyDescent="0.25">
      <c r="A73">
        <v>6.8150075999994897E-2</v>
      </c>
      <c r="B73">
        <v>24.363344051446902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267</v>
      </c>
      <c r="J73">
        <v>99</v>
      </c>
      <c r="K73">
        <v>198</v>
      </c>
      <c r="L73" t="s">
        <v>63</v>
      </c>
      <c r="M73">
        <v>16999</v>
      </c>
      <c r="N73">
        <v>30308</v>
      </c>
      <c r="O73">
        <v>16999</v>
      </c>
      <c r="P73">
        <v>99</v>
      </c>
      <c r="Q73">
        <v>1</v>
      </c>
      <c r="R73">
        <v>120000</v>
      </c>
      <c r="S73" t="s">
        <v>28</v>
      </c>
      <c r="T73">
        <v>121.367033347</v>
      </c>
      <c r="U73">
        <v>121.435182931</v>
      </c>
      <c r="V73">
        <v>28</v>
      </c>
      <c r="W73">
        <v>166</v>
      </c>
      <c r="X73">
        <v>0</v>
      </c>
      <c r="Y73">
        <v>2147483647</v>
      </c>
    </row>
    <row r="74" spans="1:30" x14ac:dyDescent="0.25">
      <c r="A74">
        <v>5.5339500000000002E-3</v>
      </c>
      <c r="B74">
        <v>2.98909657320872</v>
      </c>
      <c r="C74">
        <v>17.3333339691162</v>
      </c>
      <c r="D74">
        <v>2022</v>
      </c>
      <c r="E74">
        <v>25</v>
      </c>
      <c r="F74">
        <v>14</v>
      </c>
      <c r="G74" t="s">
        <v>25</v>
      </c>
      <c r="H74">
        <v>36</v>
      </c>
      <c r="I74">
        <v>92</v>
      </c>
      <c r="J74">
        <v>14</v>
      </c>
      <c r="K74">
        <v>15</v>
      </c>
      <c r="L74" t="s">
        <v>64</v>
      </c>
      <c r="M74">
        <v>1156</v>
      </c>
      <c r="N74">
        <v>1919</v>
      </c>
      <c r="O74">
        <v>1156</v>
      </c>
      <c r="P74">
        <v>14</v>
      </c>
      <c r="Q74">
        <v>1</v>
      </c>
      <c r="R74">
        <v>9.190061</v>
      </c>
      <c r="S74" t="s">
        <v>27</v>
      </c>
      <c r="T74">
        <v>3.6126050000000001E-3</v>
      </c>
      <c r="U74">
        <v>9.1459479999999992E-3</v>
      </c>
      <c r="V74">
        <v>18</v>
      </c>
      <c r="W74">
        <v>41</v>
      </c>
      <c r="X74">
        <v>35</v>
      </c>
      <c r="Y74">
        <v>14</v>
      </c>
      <c r="AC74">
        <f>U74/U75</f>
        <v>0.6058626454010716</v>
      </c>
      <c r="AD74">
        <f t="shared" ref="AD74" si="34">I74-I75</f>
        <v>-59</v>
      </c>
    </row>
    <row r="75" spans="1:30" x14ac:dyDescent="0.25">
      <c r="A75">
        <v>7.4923479999999898E-3</v>
      </c>
      <c r="B75">
        <v>3.70404984423676</v>
      </c>
      <c r="C75">
        <v>17.3333339691162</v>
      </c>
      <c r="D75">
        <v>2022</v>
      </c>
      <c r="E75">
        <v>25</v>
      </c>
      <c r="F75">
        <v>14</v>
      </c>
      <c r="G75" t="s">
        <v>25</v>
      </c>
      <c r="H75">
        <v>36</v>
      </c>
      <c r="I75">
        <v>151</v>
      </c>
      <c r="J75">
        <v>14</v>
      </c>
      <c r="K75">
        <v>17</v>
      </c>
      <c r="L75" t="s">
        <v>64</v>
      </c>
      <c r="M75">
        <v>1390</v>
      </c>
      <c r="N75">
        <v>2378</v>
      </c>
      <c r="O75">
        <v>1390</v>
      </c>
      <c r="P75">
        <v>14</v>
      </c>
      <c r="Q75">
        <v>1</v>
      </c>
      <c r="R75">
        <v>15.262573</v>
      </c>
      <c r="S75" t="s">
        <v>28</v>
      </c>
      <c r="T75">
        <v>7.6041010000000003E-3</v>
      </c>
      <c r="U75">
        <v>1.5095745000000001E-2</v>
      </c>
      <c r="V75">
        <v>18</v>
      </c>
      <c r="W75">
        <v>49</v>
      </c>
      <c r="X75">
        <v>86</v>
      </c>
      <c r="Y75">
        <v>14</v>
      </c>
    </row>
    <row r="76" spans="1:30" x14ac:dyDescent="0.25">
      <c r="A76">
        <v>7.60383E-4</v>
      </c>
      <c r="B76">
        <v>1.88888888888888</v>
      </c>
      <c r="C76">
        <v>14.800000190734799</v>
      </c>
      <c r="D76">
        <v>87</v>
      </c>
      <c r="E76">
        <v>25</v>
      </c>
      <c r="F76">
        <v>26</v>
      </c>
      <c r="G76" t="s">
        <v>25</v>
      </c>
      <c r="H76">
        <v>37</v>
      </c>
      <c r="I76">
        <v>50</v>
      </c>
      <c r="J76">
        <v>26</v>
      </c>
      <c r="K76">
        <v>6</v>
      </c>
      <c r="L76" t="s">
        <v>65</v>
      </c>
      <c r="M76">
        <v>119</v>
      </c>
      <c r="N76">
        <v>289</v>
      </c>
      <c r="O76">
        <v>119</v>
      </c>
      <c r="P76">
        <v>9</v>
      </c>
      <c r="Q76">
        <v>1</v>
      </c>
      <c r="R76">
        <v>0.912018</v>
      </c>
      <c r="S76" t="s">
        <v>27</v>
      </c>
      <c r="T76">
        <v>1.32013E-4</v>
      </c>
      <c r="U76">
        <v>8.9197099999999997E-4</v>
      </c>
      <c r="V76">
        <v>5</v>
      </c>
      <c r="W76">
        <v>5</v>
      </c>
      <c r="X76">
        <v>34</v>
      </c>
      <c r="Y76">
        <v>26</v>
      </c>
      <c r="AC76">
        <f>U76/U77</f>
        <v>0.85331661084531796</v>
      </c>
      <c r="AD76">
        <f t="shared" ref="AD76" si="35">I76-I77</f>
        <v>2</v>
      </c>
    </row>
    <row r="77" spans="1:30" x14ac:dyDescent="0.25">
      <c r="A77">
        <v>8.1011899999999999E-4</v>
      </c>
      <c r="B77">
        <v>1.9084967320261399</v>
      </c>
      <c r="C77">
        <v>14.800000190734799</v>
      </c>
      <c r="D77">
        <v>87</v>
      </c>
      <c r="E77">
        <v>25</v>
      </c>
      <c r="F77">
        <v>26</v>
      </c>
      <c r="G77" t="s">
        <v>25</v>
      </c>
      <c r="H77">
        <v>37</v>
      </c>
      <c r="I77">
        <v>48</v>
      </c>
      <c r="J77">
        <v>26</v>
      </c>
      <c r="K77">
        <v>5</v>
      </c>
      <c r="L77" t="s">
        <v>65</v>
      </c>
      <c r="M77">
        <v>99</v>
      </c>
      <c r="N77">
        <v>292</v>
      </c>
      <c r="O77">
        <v>99</v>
      </c>
      <c r="P77">
        <v>9</v>
      </c>
      <c r="Q77">
        <v>1</v>
      </c>
      <c r="R77">
        <v>1.080525</v>
      </c>
      <c r="S77" t="s">
        <v>28</v>
      </c>
      <c r="T77">
        <v>2.35684E-4</v>
      </c>
      <c r="U77">
        <v>1.045299E-3</v>
      </c>
      <c r="V77">
        <v>5</v>
      </c>
      <c r="W77">
        <v>4</v>
      </c>
      <c r="X77">
        <v>33</v>
      </c>
      <c r="Y77">
        <v>26</v>
      </c>
    </row>
    <row r="78" spans="1:30" x14ac:dyDescent="0.25">
      <c r="A78">
        <v>1.378958E-3</v>
      </c>
      <c r="B78">
        <v>2.68208092485549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69</v>
      </c>
      <c r="J78">
        <v>4</v>
      </c>
      <c r="K78">
        <v>8</v>
      </c>
      <c r="L78" t="s">
        <v>66</v>
      </c>
      <c r="M78">
        <v>253</v>
      </c>
      <c r="N78">
        <v>464</v>
      </c>
      <c r="O78">
        <v>253</v>
      </c>
      <c r="P78">
        <v>4</v>
      </c>
      <c r="Q78">
        <v>1</v>
      </c>
      <c r="R78">
        <v>1.6873469999999999</v>
      </c>
      <c r="S78" t="s">
        <v>27</v>
      </c>
      <c r="T78">
        <v>2.8819099999999998E-4</v>
      </c>
      <c r="U78">
        <v>1.6667089999999999E-3</v>
      </c>
      <c r="V78">
        <v>5</v>
      </c>
      <c r="W78">
        <v>15</v>
      </c>
      <c r="X78">
        <v>48</v>
      </c>
      <c r="Y78">
        <v>4</v>
      </c>
      <c r="AC78">
        <f>U78/U79</f>
        <v>1.0749965170997502</v>
      </c>
      <c r="AD78">
        <f t="shared" ref="AD78" si="36">I78-I79</f>
        <v>6</v>
      </c>
    </row>
    <row r="79" spans="1:30" x14ac:dyDescent="0.25">
      <c r="A79">
        <v>1.285893E-3</v>
      </c>
      <c r="B79">
        <v>2.7514450867051998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63</v>
      </c>
      <c r="J79">
        <v>4</v>
      </c>
      <c r="K79">
        <v>8</v>
      </c>
      <c r="L79" t="s">
        <v>66</v>
      </c>
      <c r="M79">
        <v>229</v>
      </c>
      <c r="N79">
        <v>476</v>
      </c>
      <c r="O79">
        <v>229</v>
      </c>
      <c r="P79">
        <v>4</v>
      </c>
      <c r="Q79">
        <v>1</v>
      </c>
      <c r="R79">
        <v>1.5780940000000001</v>
      </c>
      <c r="S79" t="s">
        <v>28</v>
      </c>
      <c r="T79">
        <v>2.6502200000000001E-4</v>
      </c>
      <c r="U79">
        <v>1.550432E-3</v>
      </c>
      <c r="V79">
        <v>5</v>
      </c>
      <c r="W79">
        <v>12</v>
      </c>
      <c r="X79">
        <v>45</v>
      </c>
      <c r="Y79">
        <v>4</v>
      </c>
    </row>
    <row r="80" spans="1:30" x14ac:dyDescent="0.25">
      <c r="A80">
        <v>1.52426219999999E-2</v>
      </c>
      <c r="B80">
        <v>5.6337386018237003</v>
      </c>
      <c r="C80">
        <v>15.949999809265099</v>
      </c>
      <c r="D80">
        <v>2246</v>
      </c>
      <c r="E80">
        <v>25</v>
      </c>
      <c r="F80">
        <v>341</v>
      </c>
      <c r="G80" t="s">
        <v>25</v>
      </c>
      <c r="H80">
        <v>39</v>
      </c>
      <c r="I80">
        <v>242</v>
      </c>
      <c r="J80">
        <v>341</v>
      </c>
      <c r="K80">
        <v>36</v>
      </c>
      <c r="L80" t="s">
        <v>67</v>
      </c>
      <c r="M80">
        <v>2706</v>
      </c>
      <c r="N80">
        <v>3707</v>
      </c>
      <c r="O80">
        <v>2706</v>
      </c>
      <c r="P80">
        <v>22</v>
      </c>
      <c r="Q80">
        <v>1</v>
      </c>
      <c r="R80">
        <v>60.643211999999998</v>
      </c>
      <c r="S80" t="s">
        <v>27</v>
      </c>
      <c r="T80">
        <v>4.5266197000000001E-2</v>
      </c>
      <c r="U80">
        <v>6.0508303999999999E-2</v>
      </c>
      <c r="V80">
        <v>20</v>
      </c>
      <c r="W80">
        <v>126</v>
      </c>
      <c r="X80">
        <v>92</v>
      </c>
      <c r="Y80">
        <v>341</v>
      </c>
      <c r="AC80">
        <f>U80/U81</f>
        <v>1.4059073556597337</v>
      </c>
      <c r="AD80">
        <f t="shared" ref="AD80" si="37">I80-I81</f>
        <v>64</v>
      </c>
    </row>
    <row r="81" spans="1:30" x14ac:dyDescent="0.25">
      <c r="A81">
        <v>1.0610402999999999E-2</v>
      </c>
      <c r="B81">
        <v>5.8981762917933098</v>
      </c>
      <c r="C81">
        <v>15.949999809265099</v>
      </c>
      <c r="D81">
        <v>2246</v>
      </c>
      <c r="E81">
        <v>25</v>
      </c>
      <c r="F81">
        <v>341</v>
      </c>
      <c r="G81" t="s">
        <v>25</v>
      </c>
      <c r="H81">
        <v>39</v>
      </c>
      <c r="I81">
        <v>178</v>
      </c>
      <c r="J81">
        <v>341</v>
      </c>
      <c r="K81">
        <v>36</v>
      </c>
      <c r="L81" t="s">
        <v>67</v>
      </c>
      <c r="M81">
        <v>2414</v>
      </c>
      <c r="N81">
        <v>3881</v>
      </c>
      <c r="O81">
        <v>2414</v>
      </c>
      <c r="P81">
        <v>22</v>
      </c>
      <c r="Q81">
        <v>1</v>
      </c>
      <c r="R81">
        <v>43.18647</v>
      </c>
      <c r="S81" t="s">
        <v>28</v>
      </c>
      <c r="T81">
        <v>3.2428882999999999E-2</v>
      </c>
      <c r="U81">
        <v>4.3038614000000003E-2</v>
      </c>
      <c r="V81">
        <v>20</v>
      </c>
      <c r="W81">
        <v>103</v>
      </c>
      <c r="X81">
        <v>51</v>
      </c>
      <c r="Y81">
        <v>341</v>
      </c>
    </row>
    <row r="82" spans="1:30" x14ac:dyDescent="0.25">
      <c r="A82">
        <v>2.5934209999999998E-3</v>
      </c>
      <c r="B82">
        <v>3.8852459016393399</v>
      </c>
      <c r="C82">
        <v>17.799999237060501</v>
      </c>
      <c r="D82">
        <v>136</v>
      </c>
      <c r="E82">
        <v>25</v>
      </c>
      <c r="F82">
        <v>11</v>
      </c>
      <c r="G82" t="s">
        <v>25</v>
      </c>
      <c r="H82">
        <v>40</v>
      </c>
      <c r="I82">
        <v>97</v>
      </c>
      <c r="J82">
        <v>11</v>
      </c>
      <c r="K82">
        <v>11</v>
      </c>
      <c r="L82" t="s">
        <v>68</v>
      </c>
      <c r="M82">
        <v>467</v>
      </c>
      <c r="N82">
        <v>711</v>
      </c>
      <c r="O82">
        <v>467</v>
      </c>
      <c r="P82">
        <v>11</v>
      </c>
      <c r="Q82">
        <v>1</v>
      </c>
      <c r="R82">
        <v>3.9971290000000002</v>
      </c>
      <c r="S82" t="s">
        <v>27</v>
      </c>
      <c r="T82">
        <v>1.352343E-3</v>
      </c>
      <c r="U82">
        <v>3.9450259999999999E-3</v>
      </c>
      <c r="V82">
        <v>5</v>
      </c>
      <c r="W82">
        <v>35</v>
      </c>
      <c r="X82">
        <v>49</v>
      </c>
      <c r="Y82">
        <v>11</v>
      </c>
      <c r="AC82">
        <f>U82/U83</f>
        <v>0.76956115990926843</v>
      </c>
      <c r="AD82">
        <f t="shared" ref="AD82" si="38">I82-I83</f>
        <v>4</v>
      </c>
    </row>
    <row r="83" spans="1:30" x14ac:dyDescent="0.25">
      <c r="A83">
        <v>3.2901059999999901E-3</v>
      </c>
      <c r="B83">
        <v>4.4590163934426199</v>
      </c>
      <c r="C83">
        <v>17.799999237060501</v>
      </c>
      <c r="D83">
        <v>136</v>
      </c>
      <c r="E83">
        <v>25</v>
      </c>
      <c r="F83">
        <v>11</v>
      </c>
      <c r="G83" t="s">
        <v>25</v>
      </c>
      <c r="H83">
        <v>40</v>
      </c>
      <c r="I83">
        <v>93</v>
      </c>
      <c r="J83">
        <v>11</v>
      </c>
      <c r="K83">
        <v>14</v>
      </c>
      <c r="L83" t="s">
        <v>68</v>
      </c>
      <c r="M83">
        <v>463</v>
      </c>
      <c r="N83">
        <v>816</v>
      </c>
      <c r="O83">
        <v>463</v>
      </c>
      <c r="P83">
        <v>11</v>
      </c>
      <c r="Q83">
        <v>1</v>
      </c>
      <c r="R83">
        <v>5.2030250000000002</v>
      </c>
      <c r="S83" t="s">
        <v>28</v>
      </c>
      <c r="T83">
        <v>1.8368740000000001E-3</v>
      </c>
      <c r="U83">
        <v>5.1263319999999999E-3</v>
      </c>
      <c r="V83">
        <v>5</v>
      </c>
      <c r="W83">
        <v>42</v>
      </c>
      <c r="X83">
        <v>38</v>
      </c>
      <c r="Y83">
        <v>11</v>
      </c>
    </row>
    <row r="84" spans="1:30" x14ac:dyDescent="0.25">
      <c r="A84">
        <v>5.8467999999999997E-4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0.68888899999999997</v>
      </c>
      <c r="S84" t="s">
        <v>27</v>
      </c>
      <c r="T84" s="1">
        <v>9.3535999999999993E-5</v>
      </c>
      <c r="U84">
        <v>6.7782900000000002E-4</v>
      </c>
      <c r="V84">
        <v>5</v>
      </c>
      <c r="W84">
        <v>1</v>
      </c>
      <c r="X84">
        <v>46</v>
      </c>
      <c r="Y84">
        <v>2</v>
      </c>
      <c r="AC84">
        <f>U84/U85</f>
        <v>1.009503342030954</v>
      </c>
      <c r="AD84">
        <f t="shared" ref="AD84" si="39">I84-I85</f>
        <v>10</v>
      </c>
    </row>
    <row r="85" spans="1:30" x14ac:dyDescent="0.25">
      <c r="A85">
        <v>6.0616399999999996E-4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0.69439600000000001</v>
      </c>
      <c r="S85" t="s">
        <v>28</v>
      </c>
      <c r="T85" s="1">
        <v>6.5772999999999995E-5</v>
      </c>
      <c r="U85">
        <v>6.7144800000000005E-4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1.8052143E-2</v>
      </c>
      <c r="B86">
        <v>4.31878306878306</v>
      </c>
      <c r="C86">
        <v>15.25</v>
      </c>
      <c r="D86">
        <v>2865</v>
      </c>
      <c r="E86">
        <v>25</v>
      </c>
      <c r="F86">
        <v>318</v>
      </c>
      <c r="G86" t="s">
        <v>25</v>
      </c>
      <c r="H86">
        <v>42</v>
      </c>
      <c r="I86">
        <v>199</v>
      </c>
      <c r="J86">
        <v>318</v>
      </c>
      <c r="K86">
        <v>28</v>
      </c>
      <c r="L86" t="s">
        <v>70</v>
      </c>
      <c r="M86">
        <v>2187</v>
      </c>
      <c r="N86">
        <v>3265</v>
      </c>
      <c r="O86">
        <v>2187</v>
      </c>
      <c r="P86">
        <v>24</v>
      </c>
      <c r="Q86">
        <v>2</v>
      </c>
      <c r="R86">
        <v>54.031104999999997</v>
      </c>
      <c r="S86" t="s">
        <v>27</v>
      </c>
      <c r="T86">
        <v>3.5870574000000002E-2</v>
      </c>
      <c r="U86">
        <v>5.3922082000000003E-2</v>
      </c>
      <c r="V86">
        <v>24</v>
      </c>
      <c r="W86">
        <v>99</v>
      </c>
      <c r="X86">
        <v>73</v>
      </c>
      <c r="Y86">
        <v>318</v>
      </c>
      <c r="AC86">
        <f>U86/U87</f>
        <v>0.92261437807848856</v>
      </c>
      <c r="AD86">
        <f t="shared" ref="AD86" si="40">I86-I87</f>
        <v>23</v>
      </c>
    </row>
    <row r="87" spans="1:30" x14ac:dyDescent="0.25">
      <c r="A87">
        <v>1.5912104E-2</v>
      </c>
      <c r="B87">
        <v>4.7116402116402103</v>
      </c>
      <c r="C87">
        <v>15.25</v>
      </c>
      <c r="D87">
        <v>2865</v>
      </c>
      <c r="E87">
        <v>25</v>
      </c>
      <c r="F87">
        <v>318</v>
      </c>
      <c r="G87" t="s">
        <v>25</v>
      </c>
      <c r="H87">
        <v>42</v>
      </c>
      <c r="I87">
        <v>176</v>
      </c>
      <c r="J87">
        <v>318</v>
      </c>
      <c r="K87">
        <v>29</v>
      </c>
      <c r="L87" t="s">
        <v>70</v>
      </c>
      <c r="M87">
        <v>2073</v>
      </c>
      <c r="N87">
        <v>3562</v>
      </c>
      <c r="O87">
        <v>2073</v>
      </c>
      <c r="P87">
        <v>24</v>
      </c>
      <c r="Q87">
        <v>1</v>
      </c>
      <c r="R87">
        <v>58.591605999999999</v>
      </c>
      <c r="S87" t="s">
        <v>28</v>
      </c>
      <c r="T87">
        <v>4.2533427999999998E-2</v>
      </c>
      <c r="U87">
        <v>5.8444875E-2</v>
      </c>
      <c r="V87">
        <v>24</v>
      </c>
      <c r="W87">
        <v>88</v>
      </c>
      <c r="X87">
        <v>62</v>
      </c>
      <c r="Y87">
        <v>318</v>
      </c>
    </row>
    <row r="88" spans="1:30" x14ac:dyDescent="0.25">
      <c r="A88">
        <v>3.0129990000000001E-3</v>
      </c>
      <c r="B88">
        <v>3.3165467625899199</v>
      </c>
      <c r="C88">
        <v>13.399999618530201</v>
      </c>
      <c r="D88">
        <v>72</v>
      </c>
      <c r="E88">
        <v>25</v>
      </c>
      <c r="F88">
        <v>12</v>
      </c>
      <c r="G88" t="s">
        <v>25</v>
      </c>
      <c r="H88">
        <v>43</v>
      </c>
      <c r="I88">
        <v>109</v>
      </c>
      <c r="J88">
        <v>12</v>
      </c>
      <c r="K88">
        <v>10</v>
      </c>
      <c r="L88" t="s">
        <v>71</v>
      </c>
      <c r="M88">
        <v>282</v>
      </c>
      <c r="N88">
        <v>461</v>
      </c>
      <c r="O88">
        <v>282</v>
      </c>
      <c r="P88">
        <v>12</v>
      </c>
      <c r="Q88">
        <v>2</v>
      </c>
      <c r="R88">
        <v>4.3309839999999999</v>
      </c>
      <c r="S88" t="s">
        <v>27</v>
      </c>
      <c r="T88">
        <v>1.288815E-3</v>
      </c>
      <c r="U88">
        <v>4.3009169999999996E-3</v>
      </c>
      <c r="V88">
        <v>5</v>
      </c>
      <c r="W88">
        <v>19</v>
      </c>
      <c r="X88">
        <v>75</v>
      </c>
      <c r="Y88">
        <v>12</v>
      </c>
      <c r="AC88">
        <f>U88/U89</f>
        <v>1.7145298545631251</v>
      </c>
      <c r="AD88">
        <f t="shared" ref="AD88" si="41">I88-I89</f>
        <v>8</v>
      </c>
    </row>
    <row r="89" spans="1:30" x14ac:dyDescent="0.25">
      <c r="A89">
        <v>1.8439789999999999E-3</v>
      </c>
      <c r="B89">
        <v>3.4892086330935199</v>
      </c>
      <c r="C89">
        <v>13.399999618530201</v>
      </c>
      <c r="D89">
        <v>72</v>
      </c>
      <c r="E89">
        <v>25</v>
      </c>
      <c r="F89">
        <v>12</v>
      </c>
      <c r="G89" t="s">
        <v>25</v>
      </c>
      <c r="H89">
        <v>43</v>
      </c>
      <c r="I89">
        <v>101</v>
      </c>
      <c r="J89">
        <v>12</v>
      </c>
      <c r="K89">
        <v>10</v>
      </c>
      <c r="L89" t="s">
        <v>71</v>
      </c>
      <c r="M89">
        <v>275</v>
      </c>
      <c r="N89">
        <v>485</v>
      </c>
      <c r="O89">
        <v>275</v>
      </c>
      <c r="P89">
        <v>12</v>
      </c>
      <c r="Q89">
        <v>1</v>
      </c>
      <c r="R89">
        <v>2.5514640000000002</v>
      </c>
      <c r="S89" t="s">
        <v>28</v>
      </c>
      <c r="T89">
        <v>6.6499599999999995E-4</v>
      </c>
      <c r="U89">
        <v>2.5085110000000002E-3</v>
      </c>
      <c r="V89">
        <v>5</v>
      </c>
      <c r="W89">
        <v>16</v>
      </c>
      <c r="X89">
        <v>71</v>
      </c>
      <c r="Y89">
        <v>12</v>
      </c>
    </row>
    <row r="90" spans="1:30" x14ac:dyDescent="0.25">
      <c r="A90">
        <v>2.9714429999999998E-3</v>
      </c>
      <c r="B90">
        <v>4.7106598984771502</v>
      </c>
      <c r="C90">
        <v>13.571428298950099</v>
      </c>
      <c r="D90">
        <v>150</v>
      </c>
      <c r="E90">
        <v>25</v>
      </c>
      <c r="F90">
        <v>51</v>
      </c>
      <c r="G90" t="s">
        <v>25</v>
      </c>
      <c r="H90">
        <v>44</v>
      </c>
      <c r="I90">
        <v>119</v>
      </c>
      <c r="J90">
        <v>51</v>
      </c>
      <c r="K90">
        <v>15</v>
      </c>
      <c r="L90" t="s">
        <v>72</v>
      </c>
      <c r="M90">
        <v>643</v>
      </c>
      <c r="N90">
        <v>928</v>
      </c>
      <c r="O90">
        <v>643</v>
      </c>
      <c r="P90">
        <v>10</v>
      </c>
      <c r="Q90">
        <v>1</v>
      </c>
      <c r="R90">
        <v>5.057296</v>
      </c>
      <c r="S90" t="s">
        <v>27</v>
      </c>
      <c r="T90">
        <v>2.0555700000000001E-3</v>
      </c>
      <c r="U90">
        <v>5.0264910000000001E-3</v>
      </c>
      <c r="V90">
        <v>7</v>
      </c>
      <c r="W90">
        <v>40</v>
      </c>
      <c r="X90">
        <v>67</v>
      </c>
      <c r="Y90">
        <v>51</v>
      </c>
      <c r="AC90">
        <f>U90/U91</f>
        <v>1.1566707795880666</v>
      </c>
      <c r="AD90">
        <f t="shared" ref="AD90" si="42">I90-I91</f>
        <v>23</v>
      </c>
    </row>
    <row r="91" spans="1:30" x14ac:dyDescent="0.25">
      <c r="A91">
        <v>2.5809189999999901E-3</v>
      </c>
      <c r="B91">
        <v>5.3401015228426303</v>
      </c>
      <c r="C91">
        <v>13.571428298950099</v>
      </c>
      <c r="D91">
        <v>150</v>
      </c>
      <c r="E91">
        <v>25</v>
      </c>
      <c r="F91">
        <v>51</v>
      </c>
      <c r="G91" t="s">
        <v>25</v>
      </c>
      <c r="H91">
        <v>44</v>
      </c>
      <c r="I91">
        <v>96</v>
      </c>
      <c r="J91">
        <v>51</v>
      </c>
      <c r="K91">
        <v>16</v>
      </c>
      <c r="L91" t="s">
        <v>72</v>
      </c>
      <c r="M91">
        <v>632</v>
      </c>
      <c r="N91">
        <v>1052</v>
      </c>
      <c r="O91">
        <v>632</v>
      </c>
      <c r="P91">
        <v>10</v>
      </c>
      <c r="Q91">
        <v>1</v>
      </c>
      <c r="R91">
        <v>4.4031979999999997</v>
      </c>
      <c r="S91" t="s">
        <v>28</v>
      </c>
      <c r="T91">
        <v>1.7651559999999999E-3</v>
      </c>
      <c r="U91">
        <v>4.345654E-3</v>
      </c>
      <c r="V91">
        <v>7</v>
      </c>
      <c r="W91">
        <v>42</v>
      </c>
      <c r="X91">
        <v>42</v>
      </c>
      <c r="Y91">
        <v>51</v>
      </c>
    </row>
    <row r="92" spans="1:30" x14ac:dyDescent="0.25">
      <c r="A92">
        <v>9.59833E-4</v>
      </c>
      <c r="B92">
        <v>1.57219251336898</v>
      </c>
      <c r="C92">
        <v>12.857142448425201</v>
      </c>
      <c r="D92">
        <v>126</v>
      </c>
      <c r="E92">
        <v>25</v>
      </c>
      <c r="F92">
        <v>41</v>
      </c>
      <c r="G92" t="s">
        <v>25</v>
      </c>
      <c r="H92">
        <v>45</v>
      </c>
      <c r="I92">
        <v>47</v>
      </c>
      <c r="J92">
        <v>41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6</v>
      </c>
      <c r="Q92">
        <v>1</v>
      </c>
      <c r="R92">
        <v>1.0588139999999999</v>
      </c>
      <c r="S92" t="s">
        <v>27</v>
      </c>
      <c r="T92" s="1">
        <v>8.4808000000000005E-5</v>
      </c>
      <c r="U92">
        <v>1.0441789999999999E-3</v>
      </c>
      <c r="V92">
        <v>7</v>
      </c>
      <c r="W92">
        <v>2</v>
      </c>
      <c r="X92">
        <v>37</v>
      </c>
      <c r="Y92">
        <v>41</v>
      </c>
      <c r="AC92">
        <f>U92/U93</f>
        <v>1.1923540273303725</v>
      </c>
      <c r="AD92">
        <f t="shared" ref="AD92" si="43">I92-I93</f>
        <v>2</v>
      </c>
    </row>
    <row r="93" spans="1:30" x14ac:dyDescent="0.25">
      <c r="A93">
        <v>7.9375699999999997E-4</v>
      </c>
      <c r="B93">
        <v>1.59358288770053</v>
      </c>
      <c r="C93">
        <v>12.857142448425201</v>
      </c>
      <c r="D93">
        <v>126</v>
      </c>
      <c r="E93">
        <v>25</v>
      </c>
      <c r="F93">
        <v>41</v>
      </c>
      <c r="G93" t="s">
        <v>25</v>
      </c>
      <c r="H93">
        <v>45</v>
      </c>
      <c r="I93">
        <v>45</v>
      </c>
      <c r="J93">
        <v>41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6</v>
      </c>
      <c r="Q93">
        <v>1</v>
      </c>
      <c r="R93">
        <v>0.902945</v>
      </c>
      <c r="S93" t="s">
        <v>28</v>
      </c>
      <c r="T93" s="1">
        <v>8.2442999999999997E-5</v>
      </c>
      <c r="U93">
        <v>8.75729E-4</v>
      </c>
      <c r="V93">
        <v>7</v>
      </c>
      <c r="W93">
        <v>2</v>
      </c>
      <c r="X93">
        <v>35</v>
      </c>
      <c r="Y93">
        <v>41</v>
      </c>
    </row>
    <row r="94" spans="1:30" x14ac:dyDescent="0.25">
      <c r="A94">
        <v>1.26644429999999E-2</v>
      </c>
      <c r="B94">
        <v>3.6352201257861601</v>
      </c>
      <c r="C94">
        <v>15.399999618530201</v>
      </c>
      <c r="D94">
        <v>3202</v>
      </c>
      <c r="E94">
        <v>25</v>
      </c>
      <c r="F94">
        <v>391</v>
      </c>
      <c r="G94" t="s">
        <v>25</v>
      </c>
      <c r="H94">
        <v>46</v>
      </c>
      <c r="I94">
        <v>183</v>
      </c>
      <c r="J94">
        <v>391</v>
      </c>
      <c r="K94">
        <v>18</v>
      </c>
      <c r="L94" t="s">
        <v>74</v>
      </c>
      <c r="M94">
        <v>1856</v>
      </c>
      <c r="N94">
        <v>2890</v>
      </c>
      <c r="O94">
        <v>1856</v>
      </c>
      <c r="P94">
        <v>26</v>
      </c>
      <c r="Q94">
        <v>1</v>
      </c>
      <c r="R94">
        <v>39.119221000000003</v>
      </c>
      <c r="S94" t="s">
        <v>27</v>
      </c>
      <c r="T94">
        <v>2.6348876E-2</v>
      </c>
      <c r="U94">
        <v>3.9012750999999998E-2</v>
      </c>
      <c r="V94">
        <v>25</v>
      </c>
      <c r="W94">
        <v>73</v>
      </c>
      <c r="X94">
        <v>82</v>
      </c>
      <c r="Y94">
        <v>391</v>
      </c>
      <c r="AC94">
        <f>U94/U95</f>
        <v>1.1810616302072525</v>
      </c>
      <c r="AD94">
        <f t="shared" ref="AD94" si="44">I94-I95</f>
        <v>17</v>
      </c>
    </row>
    <row r="95" spans="1:30" x14ac:dyDescent="0.25">
      <c r="A95">
        <v>1.1188294E-2</v>
      </c>
      <c r="B95">
        <v>4.0415094339622604</v>
      </c>
      <c r="C95">
        <v>15.399999618530201</v>
      </c>
      <c r="D95">
        <v>3202</v>
      </c>
      <c r="E95">
        <v>25</v>
      </c>
      <c r="F95">
        <v>391</v>
      </c>
      <c r="G95" t="s">
        <v>25</v>
      </c>
      <c r="H95">
        <v>46</v>
      </c>
      <c r="I95">
        <v>166</v>
      </c>
      <c r="J95">
        <v>391</v>
      </c>
      <c r="K95">
        <v>20</v>
      </c>
      <c r="L95" t="s">
        <v>74</v>
      </c>
      <c r="M95">
        <v>1772</v>
      </c>
      <c r="N95">
        <v>3213</v>
      </c>
      <c r="O95">
        <v>1772</v>
      </c>
      <c r="P95">
        <v>26</v>
      </c>
      <c r="Q95">
        <v>1</v>
      </c>
      <c r="R95">
        <v>33.160454999999999</v>
      </c>
      <c r="S95" t="s">
        <v>28</v>
      </c>
      <c r="T95">
        <v>2.1844176999999999E-2</v>
      </c>
      <c r="U95">
        <v>3.3031934999999998E-2</v>
      </c>
      <c r="V95">
        <v>25</v>
      </c>
      <c r="W95">
        <v>73</v>
      </c>
      <c r="X95">
        <v>65</v>
      </c>
      <c r="Y95">
        <v>391</v>
      </c>
    </row>
    <row r="96" spans="1:30" x14ac:dyDescent="0.25">
      <c r="A96">
        <v>1.0484220000000001E-2</v>
      </c>
      <c r="B96">
        <v>4.1324786324786302</v>
      </c>
      <c r="C96">
        <v>16.214284896850501</v>
      </c>
      <c r="D96">
        <v>970</v>
      </c>
      <c r="E96">
        <v>25</v>
      </c>
      <c r="F96">
        <v>88</v>
      </c>
      <c r="G96" t="s">
        <v>25</v>
      </c>
      <c r="H96">
        <v>47</v>
      </c>
      <c r="I96">
        <v>209</v>
      </c>
      <c r="J96">
        <v>88</v>
      </c>
      <c r="K96">
        <v>27</v>
      </c>
      <c r="L96" t="s">
        <v>75</v>
      </c>
      <c r="M96">
        <v>1223</v>
      </c>
      <c r="N96">
        <v>1934</v>
      </c>
      <c r="O96">
        <v>1223</v>
      </c>
      <c r="P96">
        <v>41</v>
      </c>
      <c r="Q96">
        <v>1</v>
      </c>
      <c r="R96">
        <v>66.522739000000001</v>
      </c>
      <c r="S96" t="s">
        <v>27</v>
      </c>
      <c r="T96">
        <v>5.5930175999999998E-2</v>
      </c>
      <c r="U96">
        <v>6.6413720999999995E-2</v>
      </c>
      <c r="V96">
        <v>14</v>
      </c>
      <c r="W96">
        <v>83</v>
      </c>
      <c r="X96">
        <v>83</v>
      </c>
      <c r="Y96">
        <v>88</v>
      </c>
      <c r="AC96">
        <f>U96/U97</f>
        <v>1.1756781659640962</v>
      </c>
      <c r="AD96">
        <f t="shared" ref="AD96" si="45">I96-I97</f>
        <v>15</v>
      </c>
    </row>
    <row r="97" spans="1:30" x14ac:dyDescent="0.25">
      <c r="A97">
        <v>1.0429048999999999E-2</v>
      </c>
      <c r="B97">
        <v>4.5064102564102502</v>
      </c>
      <c r="C97">
        <v>16.214284896850501</v>
      </c>
      <c r="D97">
        <v>970</v>
      </c>
      <c r="E97">
        <v>25</v>
      </c>
      <c r="F97">
        <v>88</v>
      </c>
      <c r="G97" t="s">
        <v>25</v>
      </c>
      <c r="H97">
        <v>47</v>
      </c>
      <c r="I97">
        <v>194</v>
      </c>
      <c r="J97">
        <v>88</v>
      </c>
      <c r="K97">
        <v>27</v>
      </c>
      <c r="L97" t="s">
        <v>75</v>
      </c>
      <c r="M97">
        <v>1070</v>
      </c>
      <c r="N97">
        <v>2109</v>
      </c>
      <c r="O97">
        <v>1070</v>
      </c>
      <c r="P97">
        <v>45</v>
      </c>
      <c r="Q97">
        <v>1</v>
      </c>
      <c r="R97">
        <v>56.769306</v>
      </c>
      <c r="S97" t="s">
        <v>28</v>
      </c>
      <c r="T97">
        <v>4.6061406999999999E-2</v>
      </c>
      <c r="U97">
        <v>5.6489711999999997E-2</v>
      </c>
      <c r="V97">
        <v>14</v>
      </c>
      <c r="W97">
        <v>80</v>
      </c>
      <c r="X97">
        <v>67</v>
      </c>
      <c r="Y97">
        <v>88</v>
      </c>
    </row>
    <row r="98" spans="1:30" s="2" customFormat="1" x14ac:dyDescent="0.25">
      <c r="A98" s="2">
        <v>4.1772795000000001E-2</v>
      </c>
      <c r="B98" s="2">
        <v>5.50844730490748</v>
      </c>
      <c r="C98" s="2">
        <v>20.931034088134702</v>
      </c>
      <c r="D98" s="2">
        <v>5915</v>
      </c>
      <c r="E98" s="2">
        <v>33</v>
      </c>
      <c r="F98" s="2">
        <v>81</v>
      </c>
      <c r="G98" s="2" t="s">
        <v>25</v>
      </c>
      <c r="H98" s="2">
        <v>48</v>
      </c>
      <c r="I98" s="2">
        <v>290</v>
      </c>
      <c r="J98" s="2">
        <v>81</v>
      </c>
      <c r="K98" s="2">
        <v>19</v>
      </c>
      <c r="L98" s="2" t="s">
        <v>76</v>
      </c>
      <c r="M98" s="2">
        <v>5029</v>
      </c>
      <c r="N98" s="2">
        <v>6847</v>
      </c>
      <c r="O98" s="2">
        <v>5029</v>
      </c>
      <c r="P98" s="2">
        <v>46</v>
      </c>
      <c r="Q98" s="2">
        <v>1</v>
      </c>
      <c r="R98" s="2">
        <v>174.77046000000001</v>
      </c>
      <c r="S98" s="2" t="s">
        <v>27</v>
      </c>
      <c r="T98" s="2">
        <v>0.132582542</v>
      </c>
      <c r="U98" s="2">
        <v>0.174354762</v>
      </c>
      <c r="V98" s="2">
        <v>29</v>
      </c>
      <c r="W98" s="2">
        <v>128</v>
      </c>
      <c r="X98" s="2">
        <v>114</v>
      </c>
      <c r="Y98" s="2">
        <v>81</v>
      </c>
      <c r="AC98" s="2">
        <f>U98/U99</f>
        <v>0.80810483794679921</v>
      </c>
      <c r="AD98" s="2">
        <f t="shared" ref="AD98" si="46">I98-I99</f>
        <v>5</v>
      </c>
    </row>
    <row r="99" spans="1:30" x14ac:dyDescent="0.25">
      <c r="A99">
        <v>4.7133126999999997E-2</v>
      </c>
      <c r="B99">
        <v>6.69750603378922</v>
      </c>
      <c r="C99">
        <v>20.931034088134702</v>
      </c>
      <c r="D99">
        <v>5915</v>
      </c>
      <c r="E99">
        <v>33</v>
      </c>
      <c r="F99">
        <v>81</v>
      </c>
      <c r="G99" t="s">
        <v>25</v>
      </c>
      <c r="H99">
        <v>48</v>
      </c>
      <c r="I99">
        <v>285</v>
      </c>
      <c r="J99">
        <v>81</v>
      </c>
      <c r="K99">
        <v>22</v>
      </c>
      <c r="L99" t="s">
        <v>76</v>
      </c>
      <c r="M99">
        <v>5442</v>
      </c>
      <c r="N99">
        <v>8325</v>
      </c>
      <c r="O99">
        <v>5442</v>
      </c>
      <c r="P99">
        <v>46</v>
      </c>
      <c r="Q99">
        <v>1</v>
      </c>
      <c r="R99">
        <v>216.045378</v>
      </c>
      <c r="S99" t="s">
        <v>28</v>
      </c>
      <c r="T99">
        <v>0.168625054</v>
      </c>
      <c r="U99">
        <v>0.21575760199999999</v>
      </c>
      <c r="V99">
        <v>29</v>
      </c>
      <c r="W99">
        <v>136</v>
      </c>
      <c r="X99">
        <v>101</v>
      </c>
      <c r="Y99">
        <v>81</v>
      </c>
    </row>
    <row r="100" spans="1:30" x14ac:dyDescent="0.25">
      <c r="A100">
        <v>1.5690889E-2</v>
      </c>
      <c r="B100">
        <v>5.6666666666666599</v>
      </c>
      <c r="C100">
        <v>19</v>
      </c>
      <c r="D100">
        <v>3735</v>
      </c>
      <c r="E100">
        <v>33</v>
      </c>
      <c r="F100">
        <v>59</v>
      </c>
      <c r="G100" t="s">
        <v>25</v>
      </c>
      <c r="H100">
        <v>49</v>
      </c>
      <c r="I100">
        <v>176</v>
      </c>
      <c r="J100">
        <v>59</v>
      </c>
      <c r="K100">
        <v>29</v>
      </c>
      <c r="L100" t="s">
        <v>77</v>
      </c>
      <c r="M100">
        <v>4024</v>
      </c>
      <c r="N100">
        <v>5525</v>
      </c>
      <c r="O100">
        <v>4024</v>
      </c>
      <c r="P100">
        <v>59</v>
      </c>
      <c r="Q100">
        <v>1</v>
      </c>
      <c r="R100">
        <v>58.549812000000003</v>
      </c>
      <c r="S100" t="s">
        <v>27</v>
      </c>
      <c r="T100">
        <v>4.2677631000000001E-2</v>
      </c>
      <c r="U100">
        <v>5.8367877999999998E-2</v>
      </c>
      <c r="V100">
        <v>25</v>
      </c>
      <c r="W100">
        <v>104</v>
      </c>
      <c r="X100">
        <v>11</v>
      </c>
      <c r="Y100">
        <v>59</v>
      </c>
      <c r="AC100">
        <f>U100/U101</f>
        <v>0.476163814367286</v>
      </c>
      <c r="AD100">
        <f t="shared" ref="AD100" si="47">I100-I101</f>
        <v>-15</v>
      </c>
    </row>
    <row r="101" spans="1:30" x14ac:dyDescent="0.25">
      <c r="A101">
        <v>2.0653128E-2</v>
      </c>
      <c r="B101">
        <v>7.1425641025640996</v>
      </c>
      <c r="C101">
        <v>19</v>
      </c>
      <c r="D101">
        <v>3735</v>
      </c>
      <c r="E101">
        <v>33</v>
      </c>
      <c r="F101">
        <v>59</v>
      </c>
      <c r="G101" t="s">
        <v>25</v>
      </c>
      <c r="H101">
        <v>49</v>
      </c>
      <c r="I101">
        <v>191</v>
      </c>
      <c r="J101">
        <v>59</v>
      </c>
      <c r="K101">
        <v>32</v>
      </c>
      <c r="L101" t="s">
        <v>77</v>
      </c>
      <c r="M101">
        <v>4383</v>
      </c>
      <c r="N101">
        <v>6964</v>
      </c>
      <c r="O101">
        <v>4383</v>
      </c>
      <c r="P101">
        <v>59</v>
      </c>
      <c r="Q101">
        <v>1</v>
      </c>
      <c r="R101">
        <v>122.834452</v>
      </c>
      <c r="S101" t="s">
        <v>28</v>
      </c>
      <c r="T101">
        <v>0.101926877</v>
      </c>
      <c r="U101">
        <v>0.122579407</v>
      </c>
      <c r="V101">
        <v>25</v>
      </c>
      <c r="W101">
        <v>119</v>
      </c>
      <c r="X101">
        <v>11</v>
      </c>
      <c r="Y101">
        <v>59</v>
      </c>
    </row>
    <row r="102" spans="1:30" x14ac:dyDescent="0.25">
      <c r="A102">
        <v>1.0007067E-2</v>
      </c>
      <c r="B102">
        <v>4.2978142076502701</v>
      </c>
      <c r="C102">
        <v>22.375</v>
      </c>
      <c r="D102">
        <v>2061</v>
      </c>
      <c r="E102">
        <v>33</v>
      </c>
      <c r="F102">
        <v>26</v>
      </c>
      <c r="G102" t="s">
        <v>25</v>
      </c>
      <c r="H102">
        <v>50</v>
      </c>
      <c r="I102">
        <v>157</v>
      </c>
      <c r="J102">
        <v>26</v>
      </c>
      <c r="K102">
        <v>17</v>
      </c>
      <c r="L102" t="s">
        <v>78</v>
      </c>
      <c r="M102">
        <v>2193</v>
      </c>
      <c r="N102">
        <v>3146</v>
      </c>
      <c r="O102">
        <v>2193</v>
      </c>
      <c r="P102">
        <v>26</v>
      </c>
      <c r="Q102">
        <v>1</v>
      </c>
      <c r="R102">
        <v>20.216394000000001</v>
      </c>
      <c r="S102" t="s">
        <v>27</v>
      </c>
      <c r="T102">
        <v>1.0080796E-2</v>
      </c>
      <c r="U102">
        <v>2.0087104000000001E-2</v>
      </c>
      <c r="V102">
        <v>16</v>
      </c>
      <c r="W102">
        <v>82</v>
      </c>
      <c r="X102">
        <v>47</v>
      </c>
      <c r="Y102">
        <v>26</v>
      </c>
      <c r="AC102">
        <f>U102/U103</f>
        <v>0.4842909669292727</v>
      </c>
      <c r="AD102">
        <f t="shared" ref="AD102" si="48">I102-I103</f>
        <v>-62</v>
      </c>
    </row>
    <row r="103" spans="1:30" x14ac:dyDescent="0.25">
      <c r="A103">
        <v>1.6098573000000001E-2</v>
      </c>
      <c r="B103">
        <v>4.8975409836065502</v>
      </c>
      <c r="C103">
        <v>22.375</v>
      </c>
      <c r="D103">
        <v>2061</v>
      </c>
      <c r="E103">
        <v>33</v>
      </c>
      <c r="F103">
        <v>26</v>
      </c>
      <c r="G103" t="s">
        <v>25</v>
      </c>
      <c r="H103">
        <v>50</v>
      </c>
      <c r="I103">
        <v>219</v>
      </c>
      <c r="J103">
        <v>26</v>
      </c>
      <c r="K103">
        <v>18</v>
      </c>
      <c r="L103" t="s">
        <v>78</v>
      </c>
      <c r="M103">
        <v>2300</v>
      </c>
      <c r="N103">
        <v>3585</v>
      </c>
      <c r="O103">
        <v>2300</v>
      </c>
      <c r="P103">
        <v>26</v>
      </c>
      <c r="Q103">
        <v>1</v>
      </c>
      <c r="R103">
        <v>41.624101000000003</v>
      </c>
      <c r="S103" t="s">
        <v>28</v>
      </c>
      <c r="T103">
        <v>2.5379283999999998E-2</v>
      </c>
      <c r="U103">
        <v>4.1477345999999998E-2</v>
      </c>
      <c r="V103">
        <v>16</v>
      </c>
      <c r="W103">
        <v>83</v>
      </c>
      <c r="X103">
        <v>108</v>
      </c>
      <c r="Y103">
        <v>26</v>
      </c>
    </row>
    <row r="104" spans="1:30" x14ac:dyDescent="0.25">
      <c r="A104">
        <v>8.2948099999999997E-3</v>
      </c>
      <c r="B104">
        <v>3.9601449275362302</v>
      </c>
      <c r="C104">
        <v>19.214284896850501</v>
      </c>
      <c r="D104">
        <v>1175</v>
      </c>
      <c r="E104">
        <v>33</v>
      </c>
      <c r="F104">
        <v>22</v>
      </c>
      <c r="G104" t="s">
        <v>25</v>
      </c>
      <c r="H104">
        <v>51</v>
      </c>
      <c r="I104">
        <v>196</v>
      </c>
      <c r="J104">
        <v>22</v>
      </c>
      <c r="K104">
        <v>19</v>
      </c>
      <c r="L104" t="s">
        <v>79</v>
      </c>
      <c r="M104">
        <v>1490</v>
      </c>
      <c r="N104">
        <v>2186</v>
      </c>
      <c r="O104">
        <v>1490</v>
      </c>
      <c r="P104">
        <v>22</v>
      </c>
      <c r="Q104">
        <v>1</v>
      </c>
      <c r="R104">
        <v>14.585445999999999</v>
      </c>
      <c r="S104" t="s">
        <v>27</v>
      </c>
      <c r="T104">
        <v>6.2084510000000002E-3</v>
      </c>
      <c r="U104">
        <v>1.4502797E-2</v>
      </c>
      <c r="V104">
        <v>14</v>
      </c>
      <c r="W104">
        <v>62</v>
      </c>
      <c r="X104">
        <v>110</v>
      </c>
      <c r="Y104">
        <v>22</v>
      </c>
      <c r="AC104">
        <f>U104/U105</f>
        <v>1.3136572446996453</v>
      </c>
      <c r="AD104">
        <f t="shared" ref="AD104" si="49">I104-I105</f>
        <v>53</v>
      </c>
    </row>
    <row r="105" spans="1:30" x14ac:dyDescent="0.25">
      <c r="A105">
        <v>6.6349739999999897E-3</v>
      </c>
      <c r="B105">
        <v>3.6811594202898501</v>
      </c>
      <c r="C105">
        <v>19.214284896850501</v>
      </c>
      <c r="D105">
        <v>1175</v>
      </c>
      <c r="E105">
        <v>33</v>
      </c>
      <c r="F105">
        <v>22</v>
      </c>
      <c r="G105" t="s">
        <v>25</v>
      </c>
      <c r="H105">
        <v>51</v>
      </c>
      <c r="I105">
        <v>143</v>
      </c>
      <c r="J105">
        <v>22</v>
      </c>
      <c r="K105">
        <v>16</v>
      </c>
      <c r="L105" t="s">
        <v>79</v>
      </c>
      <c r="M105">
        <v>1204</v>
      </c>
      <c r="N105">
        <v>2032</v>
      </c>
      <c r="O105">
        <v>1204</v>
      </c>
      <c r="P105">
        <v>22</v>
      </c>
      <c r="Q105">
        <v>1</v>
      </c>
      <c r="R105">
        <v>11.133224999999999</v>
      </c>
      <c r="S105" t="s">
        <v>28</v>
      </c>
      <c r="T105">
        <v>4.4056130000000001E-3</v>
      </c>
      <c r="U105">
        <v>1.1040016E-2</v>
      </c>
      <c r="V105">
        <v>14</v>
      </c>
      <c r="W105">
        <v>47</v>
      </c>
      <c r="X105">
        <v>72</v>
      </c>
      <c r="Y105">
        <v>22</v>
      </c>
    </row>
    <row r="106" spans="1:30" x14ac:dyDescent="0.25">
      <c r="A106">
        <v>5.3073690000000001E-3</v>
      </c>
      <c r="B106">
        <v>3.5780590717299501</v>
      </c>
      <c r="C106">
        <v>19.25</v>
      </c>
      <c r="D106">
        <v>876</v>
      </c>
      <c r="E106">
        <v>33</v>
      </c>
      <c r="F106">
        <v>23</v>
      </c>
      <c r="G106" t="s">
        <v>25</v>
      </c>
      <c r="H106">
        <v>52</v>
      </c>
      <c r="I106">
        <v>139</v>
      </c>
      <c r="J106">
        <v>23</v>
      </c>
      <c r="K106">
        <v>15</v>
      </c>
      <c r="L106" t="s">
        <v>80</v>
      </c>
      <c r="M106">
        <v>1111</v>
      </c>
      <c r="N106">
        <v>1696</v>
      </c>
      <c r="O106">
        <v>1111</v>
      </c>
      <c r="P106">
        <v>23</v>
      </c>
      <c r="Q106">
        <v>1</v>
      </c>
      <c r="R106">
        <v>8.9647839999999999</v>
      </c>
      <c r="S106" t="s">
        <v>27</v>
      </c>
      <c r="T106">
        <v>3.628105E-3</v>
      </c>
      <c r="U106">
        <v>8.9348799999999992E-3</v>
      </c>
      <c r="V106">
        <v>12</v>
      </c>
      <c r="W106">
        <v>51</v>
      </c>
      <c r="X106">
        <v>63</v>
      </c>
      <c r="Y106">
        <v>23</v>
      </c>
      <c r="AC106">
        <f>U106/U107</f>
        <v>0.97000700238298143</v>
      </c>
      <c r="AD106">
        <f t="shared" ref="AD106" si="50">I106-I107</f>
        <v>-8</v>
      </c>
    </row>
    <row r="107" spans="1:30" x14ac:dyDescent="0.25">
      <c r="A107">
        <v>5.1642469999999899E-3</v>
      </c>
      <c r="B107">
        <v>3.79113924050632</v>
      </c>
      <c r="C107">
        <v>19.25</v>
      </c>
      <c r="D107">
        <v>876</v>
      </c>
      <c r="E107">
        <v>33</v>
      </c>
      <c r="F107">
        <v>23</v>
      </c>
      <c r="G107" t="s">
        <v>25</v>
      </c>
      <c r="H107">
        <v>52</v>
      </c>
      <c r="I107">
        <v>147</v>
      </c>
      <c r="J107">
        <v>23</v>
      </c>
      <c r="K107">
        <v>15</v>
      </c>
      <c r="L107" t="s">
        <v>80</v>
      </c>
      <c r="M107">
        <v>1068</v>
      </c>
      <c r="N107">
        <v>1797</v>
      </c>
      <c r="O107">
        <v>1068</v>
      </c>
      <c r="P107">
        <v>23</v>
      </c>
      <c r="Q107">
        <v>1</v>
      </c>
      <c r="R107">
        <v>9.2765629999999994</v>
      </c>
      <c r="S107" t="s">
        <v>28</v>
      </c>
      <c r="T107">
        <v>4.0474209999999998E-3</v>
      </c>
      <c r="U107">
        <v>9.2111499999999995E-3</v>
      </c>
      <c r="V107">
        <v>12</v>
      </c>
      <c r="W107">
        <v>44</v>
      </c>
      <c r="X107">
        <v>78</v>
      </c>
      <c r="Y107">
        <v>23</v>
      </c>
    </row>
    <row r="108" spans="1:30" x14ac:dyDescent="0.25">
      <c r="A108">
        <v>1.796431E-3</v>
      </c>
      <c r="B108">
        <v>1.7712418300653501</v>
      </c>
      <c r="C108">
        <v>18.625</v>
      </c>
      <c r="D108">
        <v>307</v>
      </c>
      <c r="E108">
        <v>33</v>
      </c>
      <c r="F108">
        <v>15</v>
      </c>
      <c r="G108" t="s">
        <v>25</v>
      </c>
      <c r="H108">
        <v>53</v>
      </c>
      <c r="I108">
        <v>66</v>
      </c>
      <c r="J108">
        <v>15</v>
      </c>
      <c r="K108">
        <v>7</v>
      </c>
      <c r="L108" t="s">
        <v>81</v>
      </c>
      <c r="M108">
        <v>219</v>
      </c>
      <c r="N108">
        <v>542</v>
      </c>
      <c r="O108">
        <v>219</v>
      </c>
      <c r="P108">
        <v>15</v>
      </c>
      <c r="Q108">
        <v>1</v>
      </c>
      <c r="R108">
        <v>2.2175820000000002</v>
      </c>
      <c r="S108" t="s">
        <v>27</v>
      </c>
      <c r="T108">
        <v>3.8083600000000001E-4</v>
      </c>
      <c r="U108">
        <v>2.1766229999999999E-3</v>
      </c>
      <c r="V108">
        <v>8</v>
      </c>
      <c r="W108">
        <v>6</v>
      </c>
      <c r="X108">
        <v>43</v>
      </c>
      <c r="Y108">
        <v>15</v>
      </c>
      <c r="AC108">
        <f>U108/U109</f>
        <v>0.84693831493507754</v>
      </c>
      <c r="AD108">
        <f t="shared" ref="AD108" si="51">I108-I109</f>
        <v>-3</v>
      </c>
    </row>
    <row r="109" spans="1:30" x14ac:dyDescent="0.25">
      <c r="A109">
        <v>2.1874329999999999E-3</v>
      </c>
      <c r="B109">
        <v>1.9084967320261399</v>
      </c>
      <c r="C109">
        <v>18.625</v>
      </c>
      <c r="D109">
        <v>307</v>
      </c>
      <c r="E109">
        <v>33</v>
      </c>
      <c r="F109">
        <v>15</v>
      </c>
      <c r="G109" t="s">
        <v>25</v>
      </c>
      <c r="H109">
        <v>53</v>
      </c>
      <c r="I109">
        <v>69</v>
      </c>
      <c r="J109">
        <v>15</v>
      </c>
      <c r="K109">
        <v>6</v>
      </c>
      <c r="L109" t="s">
        <v>81</v>
      </c>
      <c r="M109">
        <v>234</v>
      </c>
      <c r="N109">
        <v>584</v>
      </c>
      <c r="O109">
        <v>234</v>
      </c>
      <c r="P109">
        <v>15</v>
      </c>
      <c r="Q109">
        <v>1</v>
      </c>
      <c r="R109">
        <v>2.611278</v>
      </c>
      <c r="S109" t="s">
        <v>28</v>
      </c>
      <c r="T109">
        <v>3.8310999999999998E-4</v>
      </c>
      <c r="U109">
        <v>2.5699899999999999E-3</v>
      </c>
      <c r="V109">
        <v>8</v>
      </c>
      <c r="W109">
        <v>7</v>
      </c>
      <c r="X109">
        <v>45</v>
      </c>
      <c r="Y109">
        <v>15</v>
      </c>
    </row>
    <row r="110" spans="1:30" x14ac:dyDescent="0.25">
      <c r="A110">
        <v>2.7424899999999898E-3</v>
      </c>
      <c r="B110">
        <v>3.0571428571428498</v>
      </c>
      <c r="C110">
        <v>12.625</v>
      </c>
      <c r="D110">
        <v>126</v>
      </c>
      <c r="E110">
        <v>33</v>
      </c>
      <c r="F110">
        <v>16</v>
      </c>
      <c r="G110" t="s">
        <v>25</v>
      </c>
      <c r="H110">
        <v>54</v>
      </c>
      <c r="I110">
        <v>138</v>
      </c>
      <c r="J110">
        <v>16</v>
      </c>
      <c r="K110">
        <v>9</v>
      </c>
      <c r="L110" t="s">
        <v>82</v>
      </c>
      <c r="M110">
        <v>408</v>
      </c>
      <c r="N110">
        <v>642</v>
      </c>
      <c r="O110">
        <v>408</v>
      </c>
      <c r="P110">
        <v>16</v>
      </c>
      <c r="Q110">
        <v>1</v>
      </c>
      <c r="R110">
        <v>3.6190980000000001</v>
      </c>
      <c r="S110" t="s">
        <v>27</v>
      </c>
      <c r="T110">
        <v>8.5395000000000002E-4</v>
      </c>
      <c r="U110">
        <v>3.596007E-3</v>
      </c>
      <c r="V110">
        <v>8</v>
      </c>
      <c r="W110">
        <v>10</v>
      </c>
      <c r="X110">
        <v>110</v>
      </c>
      <c r="Y110">
        <v>16</v>
      </c>
      <c r="AC110">
        <f>U110/U111</f>
        <v>0.99046200169887588</v>
      </c>
      <c r="AD110">
        <f t="shared" ref="AD110" si="52">I110-I111</f>
        <v>7</v>
      </c>
    </row>
    <row r="111" spans="1:30" x14ac:dyDescent="0.25">
      <c r="A111">
        <v>2.7359210000000001E-3</v>
      </c>
      <c r="B111">
        <v>3.1666666666666599</v>
      </c>
      <c r="C111">
        <v>12.625</v>
      </c>
      <c r="D111">
        <v>126</v>
      </c>
      <c r="E111">
        <v>33</v>
      </c>
      <c r="F111">
        <v>16</v>
      </c>
      <c r="G111" t="s">
        <v>25</v>
      </c>
      <c r="H111">
        <v>54</v>
      </c>
      <c r="I111">
        <v>131</v>
      </c>
      <c r="J111">
        <v>16</v>
      </c>
      <c r="K111">
        <v>9</v>
      </c>
      <c r="L111" t="s">
        <v>82</v>
      </c>
      <c r="M111">
        <v>399</v>
      </c>
      <c r="N111">
        <v>665</v>
      </c>
      <c r="O111">
        <v>399</v>
      </c>
      <c r="P111">
        <v>16</v>
      </c>
      <c r="Q111">
        <v>1</v>
      </c>
      <c r="R111">
        <v>3.6620409999999999</v>
      </c>
      <c r="S111" t="s">
        <v>28</v>
      </c>
      <c r="T111">
        <v>8.9518200000000001E-4</v>
      </c>
      <c r="U111">
        <v>3.630636E-3</v>
      </c>
      <c r="V111">
        <v>8</v>
      </c>
      <c r="W111">
        <v>9</v>
      </c>
      <c r="X111">
        <v>104</v>
      </c>
      <c r="Y111">
        <v>16</v>
      </c>
    </row>
    <row r="112" spans="1:30" x14ac:dyDescent="0.25">
      <c r="A112">
        <v>0.15483003199999901</v>
      </c>
      <c r="B112">
        <v>24.172570390554</v>
      </c>
      <c r="C112">
        <v>19.888889312744102</v>
      </c>
      <c r="D112">
        <v>4862</v>
      </c>
      <c r="E112">
        <v>33</v>
      </c>
      <c r="F112">
        <v>161</v>
      </c>
      <c r="G112" t="s">
        <v>25</v>
      </c>
      <c r="H112">
        <v>55</v>
      </c>
      <c r="I112">
        <v>576</v>
      </c>
      <c r="J112">
        <v>161</v>
      </c>
      <c r="K112">
        <v>125</v>
      </c>
      <c r="L112" t="s">
        <v>83</v>
      </c>
      <c r="M112">
        <v>21844</v>
      </c>
      <c r="N112">
        <v>26614</v>
      </c>
      <c r="O112">
        <v>21844</v>
      </c>
      <c r="P112">
        <v>87</v>
      </c>
      <c r="Q112">
        <v>1</v>
      </c>
      <c r="R112">
        <v>25939.422841</v>
      </c>
      <c r="S112" t="s">
        <v>27</v>
      </c>
      <c r="T112">
        <v>25.783448050000001</v>
      </c>
      <c r="U112">
        <v>25.938277468999999</v>
      </c>
      <c r="V112">
        <v>27</v>
      </c>
      <c r="W112">
        <v>439</v>
      </c>
      <c r="X112">
        <v>48</v>
      </c>
      <c r="Y112">
        <v>161</v>
      </c>
      <c r="AC112">
        <f>U112/U113</f>
        <v>0.75339376414307258</v>
      </c>
      <c r="AD112">
        <f t="shared" ref="AD112" si="53">I112-I113</f>
        <v>44</v>
      </c>
    </row>
    <row r="113" spans="1:30" x14ac:dyDescent="0.25">
      <c r="A113">
        <v>0.148629861999999</v>
      </c>
      <c r="B113">
        <v>30.549500454132598</v>
      </c>
      <c r="C113">
        <v>19.888889312744102</v>
      </c>
      <c r="D113">
        <v>4862</v>
      </c>
      <c r="E113">
        <v>33</v>
      </c>
      <c r="F113">
        <v>161</v>
      </c>
      <c r="G113" t="s">
        <v>25</v>
      </c>
      <c r="H113">
        <v>55</v>
      </c>
      <c r="I113">
        <v>532</v>
      </c>
      <c r="J113">
        <v>161</v>
      </c>
      <c r="K113">
        <v>160</v>
      </c>
      <c r="L113" t="s">
        <v>83</v>
      </c>
      <c r="M113">
        <v>20796</v>
      </c>
      <c r="N113">
        <v>33635</v>
      </c>
      <c r="O113">
        <v>20796</v>
      </c>
      <c r="P113">
        <v>87</v>
      </c>
      <c r="Q113">
        <v>5</v>
      </c>
      <c r="R113">
        <v>34429.943326000001</v>
      </c>
      <c r="S113" t="s">
        <v>28</v>
      </c>
      <c r="T113">
        <v>34.279950640999999</v>
      </c>
      <c r="U113">
        <v>34.428579984999999</v>
      </c>
      <c r="V113">
        <v>27</v>
      </c>
      <c r="W113">
        <v>400</v>
      </c>
      <c r="X113">
        <v>39</v>
      </c>
      <c r="Y113">
        <v>161</v>
      </c>
    </row>
    <row r="114" spans="1:30" x14ac:dyDescent="0.25">
      <c r="A114">
        <v>1.3565325E-2</v>
      </c>
      <c r="B114">
        <v>4.3965936739659304</v>
      </c>
      <c r="C114">
        <v>20.049999237060501</v>
      </c>
      <c r="D114">
        <v>2616</v>
      </c>
      <c r="E114">
        <v>33</v>
      </c>
      <c r="F114">
        <v>49</v>
      </c>
      <c r="G114" t="s">
        <v>25</v>
      </c>
      <c r="H114">
        <v>56</v>
      </c>
      <c r="I114">
        <v>202</v>
      </c>
      <c r="J114">
        <v>49</v>
      </c>
      <c r="K114">
        <v>22</v>
      </c>
      <c r="L114" t="s">
        <v>84</v>
      </c>
      <c r="M114">
        <v>2491</v>
      </c>
      <c r="N114">
        <v>3614</v>
      </c>
      <c r="O114">
        <v>2491</v>
      </c>
      <c r="P114">
        <v>49</v>
      </c>
      <c r="Q114">
        <v>1</v>
      </c>
      <c r="R114">
        <v>36.870412999999999</v>
      </c>
      <c r="S114" t="s">
        <v>27</v>
      </c>
      <c r="T114">
        <v>2.3181107999999999E-2</v>
      </c>
      <c r="U114">
        <v>3.6745801000000002E-2</v>
      </c>
      <c r="V114">
        <v>20</v>
      </c>
      <c r="W114">
        <v>90</v>
      </c>
      <c r="X114">
        <v>61</v>
      </c>
      <c r="Y114">
        <v>49</v>
      </c>
      <c r="AC114">
        <f>U114/U115</f>
        <v>0.90728392496321808</v>
      </c>
      <c r="AD114">
        <f t="shared" ref="AD114" si="54">I114-I115</f>
        <v>11</v>
      </c>
    </row>
    <row r="115" spans="1:30" x14ac:dyDescent="0.25">
      <c r="A115">
        <v>1.416189E-2</v>
      </c>
      <c r="B115">
        <v>5.3990267639902596</v>
      </c>
      <c r="C115">
        <v>20.049999237060501</v>
      </c>
      <c r="D115">
        <v>2616</v>
      </c>
      <c r="E115">
        <v>33</v>
      </c>
      <c r="F115">
        <v>49</v>
      </c>
      <c r="G115" t="s">
        <v>25</v>
      </c>
      <c r="H115">
        <v>56</v>
      </c>
      <c r="I115">
        <v>191</v>
      </c>
      <c r="J115">
        <v>49</v>
      </c>
      <c r="K115">
        <v>20</v>
      </c>
      <c r="L115" t="s">
        <v>84</v>
      </c>
      <c r="M115">
        <v>2735</v>
      </c>
      <c r="N115">
        <v>4438</v>
      </c>
      <c r="O115">
        <v>2735</v>
      </c>
      <c r="P115">
        <v>49</v>
      </c>
      <c r="Q115">
        <v>2</v>
      </c>
      <c r="R115">
        <v>40.671559999999999</v>
      </c>
      <c r="S115" t="s">
        <v>28</v>
      </c>
      <c r="T115">
        <v>2.6339558999999999E-2</v>
      </c>
      <c r="U115">
        <v>4.0500884000000001E-2</v>
      </c>
      <c r="V115">
        <v>20</v>
      </c>
      <c r="W115">
        <v>97</v>
      </c>
      <c r="X115">
        <v>42</v>
      </c>
      <c r="Y115">
        <v>49</v>
      </c>
    </row>
    <row r="116" spans="1:30" x14ac:dyDescent="0.25">
      <c r="A116">
        <v>4.9910839999999998E-3</v>
      </c>
      <c r="B116">
        <v>3.2141732283464499</v>
      </c>
      <c r="C116">
        <v>18.176469802856399</v>
      </c>
      <c r="D116">
        <v>1632</v>
      </c>
      <c r="E116">
        <v>33</v>
      </c>
      <c r="F116">
        <v>41</v>
      </c>
      <c r="G116" t="s">
        <v>25</v>
      </c>
      <c r="H116">
        <v>57</v>
      </c>
      <c r="I116">
        <v>127</v>
      </c>
      <c r="J116">
        <v>41</v>
      </c>
      <c r="K116">
        <v>16</v>
      </c>
      <c r="L116" t="s">
        <v>85</v>
      </c>
      <c r="M116">
        <v>1267</v>
      </c>
      <c r="N116">
        <v>2041</v>
      </c>
      <c r="O116">
        <v>1267</v>
      </c>
      <c r="P116">
        <v>27</v>
      </c>
      <c r="Q116">
        <v>1</v>
      </c>
      <c r="R116">
        <v>9.3927429999999994</v>
      </c>
      <c r="S116" t="s">
        <v>27</v>
      </c>
      <c r="T116">
        <v>4.3605839999999998E-3</v>
      </c>
      <c r="U116">
        <v>9.3511670000000005E-3</v>
      </c>
      <c r="V116">
        <v>17</v>
      </c>
      <c r="W116">
        <v>53</v>
      </c>
      <c r="X116">
        <v>45</v>
      </c>
      <c r="Y116">
        <v>41</v>
      </c>
      <c r="AC116">
        <f>U116/U117</f>
        <v>0.85448532821619894</v>
      </c>
      <c r="AD116">
        <f t="shared" ref="AD116" si="55">I116-I117</f>
        <v>-5</v>
      </c>
    </row>
    <row r="117" spans="1:30" x14ac:dyDescent="0.25">
      <c r="A117">
        <v>6.3624040000000003E-3</v>
      </c>
      <c r="B117">
        <v>3.2299212598425102</v>
      </c>
      <c r="C117">
        <v>18.176469802856399</v>
      </c>
      <c r="D117">
        <v>1632</v>
      </c>
      <c r="E117">
        <v>33</v>
      </c>
      <c r="F117">
        <v>41</v>
      </c>
      <c r="G117" t="s">
        <v>25</v>
      </c>
      <c r="H117">
        <v>57</v>
      </c>
      <c r="I117">
        <v>132</v>
      </c>
      <c r="J117">
        <v>41</v>
      </c>
      <c r="K117">
        <v>20</v>
      </c>
      <c r="L117" t="s">
        <v>85</v>
      </c>
      <c r="M117">
        <v>1067</v>
      </c>
      <c r="N117">
        <v>2051</v>
      </c>
      <c r="O117">
        <v>1067</v>
      </c>
      <c r="P117">
        <v>27</v>
      </c>
      <c r="Q117">
        <v>1</v>
      </c>
      <c r="R117">
        <v>11.0931</v>
      </c>
      <c r="S117" t="s">
        <v>28</v>
      </c>
      <c r="T117">
        <v>4.581791E-3</v>
      </c>
      <c r="U117">
        <v>1.0943625E-2</v>
      </c>
      <c r="V117">
        <v>17</v>
      </c>
      <c r="W117">
        <v>51</v>
      </c>
      <c r="X117">
        <v>52</v>
      </c>
      <c r="Y117">
        <v>41</v>
      </c>
    </row>
    <row r="118" spans="1:30" x14ac:dyDescent="0.25">
      <c r="A118">
        <v>6.0618216999998198E-2</v>
      </c>
      <c r="B118">
        <v>18.1791290057518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285</v>
      </c>
      <c r="J118">
        <v>101</v>
      </c>
      <c r="K118">
        <v>165</v>
      </c>
      <c r="L118" t="s">
        <v>86</v>
      </c>
      <c r="M118">
        <v>17425</v>
      </c>
      <c r="N118">
        <v>22124</v>
      </c>
      <c r="O118">
        <v>17425</v>
      </c>
      <c r="P118">
        <v>101</v>
      </c>
      <c r="Q118">
        <v>1</v>
      </c>
      <c r="R118">
        <v>120000</v>
      </c>
      <c r="S118" t="s">
        <v>27</v>
      </c>
      <c r="T118">
        <v>120.093281443</v>
      </c>
      <c r="U118">
        <v>120.153899069</v>
      </c>
      <c r="V118">
        <v>29</v>
      </c>
      <c r="W118">
        <v>182</v>
      </c>
      <c r="X118">
        <v>0</v>
      </c>
      <c r="Y118">
        <v>2147483647</v>
      </c>
      <c r="AC118">
        <f>U118/U119</f>
        <v>0.94651895206493897</v>
      </c>
      <c r="AD118">
        <f t="shared" ref="AD118" si="56">I118-I119</f>
        <v>36</v>
      </c>
    </row>
    <row r="119" spans="1:30" x14ac:dyDescent="0.25">
      <c r="A119">
        <v>5.4466309000005701E-2</v>
      </c>
      <c r="B119">
        <v>21.5332785538208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249</v>
      </c>
      <c r="J119">
        <v>101</v>
      </c>
      <c r="K119">
        <v>158</v>
      </c>
      <c r="L119" t="s">
        <v>86</v>
      </c>
      <c r="M119">
        <v>14628</v>
      </c>
      <c r="N119">
        <v>26206</v>
      </c>
      <c r="O119">
        <v>14628</v>
      </c>
      <c r="P119">
        <v>101</v>
      </c>
      <c r="Q119">
        <v>1</v>
      </c>
      <c r="R119">
        <v>120000</v>
      </c>
      <c r="S119" t="s">
        <v>28</v>
      </c>
      <c r="T119">
        <v>126.88847475</v>
      </c>
      <c r="U119">
        <v>126.942940558</v>
      </c>
      <c r="V119">
        <v>29</v>
      </c>
      <c r="W119">
        <v>147</v>
      </c>
      <c r="X119">
        <v>0</v>
      </c>
      <c r="Y119">
        <v>2147483647</v>
      </c>
    </row>
    <row r="120" spans="1:30" x14ac:dyDescent="0.25">
      <c r="A120">
        <v>5.4619699999989203E-2</v>
      </c>
      <c r="B120">
        <v>17.287781350482302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269</v>
      </c>
      <c r="J120">
        <v>106</v>
      </c>
      <c r="K120">
        <v>134</v>
      </c>
      <c r="L120" t="s">
        <v>87</v>
      </c>
      <c r="M120">
        <v>16794</v>
      </c>
      <c r="N120">
        <v>21506</v>
      </c>
      <c r="O120">
        <v>16794</v>
      </c>
      <c r="P120">
        <v>106</v>
      </c>
      <c r="Q120">
        <v>1</v>
      </c>
      <c r="R120">
        <v>120000</v>
      </c>
      <c r="S120" t="s">
        <v>27</v>
      </c>
      <c r="T120">
        <v>120.18076290400001</v>
      </c>
      <c r="U120">
        <v>120.235381926</v>
      </c>
      <c r="V120">
        <v>28</v>
      </c>
      <c r="W120">
        <v>162</v>
      </c>
      <c r="X120">
        <v>0</v>
      </c>
      <c r="Y120">
        <v>2147483647</v>
      </c>
      <c r="AC120">
        <f>U120/U121</f>
        <v>0.95309902055553652</v>
      </c>
      <c r="AD120">
        <f t="shared" ref="AD120" si="57">I120-I121</f>
        <v>16</v>
      </c>
    </row>
    <row r="121" spans="1:30" x14ac:dyDescent="0.25">
      <c r="A121">
        <v>5.87602029999914E-2</v>
      </c>
      <c r="B121">
        <v>23.195337620578702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253</v>
      </c>
      <c r="J121">
        <v>106</v>
      </c>
      <c r="K121">
        <v>177</v>
      </c>
      <c r="L121" t="s">
        <v>87</v>
      </c>
      <c r="M121">
        <v>16205</v>
      </c>
      <c r="N121">
        <v>28855</v>
      </c>
      <c r="O121">
        <v>16205</v>
      </c>
      <c r="P121">
        <v>106</v>
      </c>
      <c r="Q121">
        <v>1</v>
      </c>
      <c r="R121">
        <v>120000</v>
      </c>
      <c r="S121" t="s">
        <v>28</v>
      </c>
      <c r="T121">
        <v>126.093276305</v>
      </c>
      <c r="U121">
        <v>126.15203597199999</v>
      </c>
      <c r="V121">
        <v>28</v>
      </c>
      <c r="W121">
        <v>146</v>
      </c>
      <c r="X121">
        <v>0</v>
      </c>
      <c r="Y121">
        <v>2147483647</v>
      </c>
    </row>
    <row r="122" spans="1:30" x14ac:dyDescent="0.25">
      <c r="A122">
        <v>9.9605330000000006E-3</v>
      </c>
      <c r="B122">
        <v>3.9859813084112101</v>
      </c>
      <c r="C122">
        <v>17.3333339691162</v>
      </c>
      <c r="D122">
        <v>2022</v>
      </c>
      <c r="E122">
        <v>25</v>
      </c>
      <c r="F122">
        <v>30</v>
      </c>
      <c r="G122" t="s">
        <v>25</v>
      </c>
      <c r="H122">
        <v>60</v>
      </c>
      <c r="I122">
        <v>157</v>
      </c>
      <c r="J122">
        <v>30</v>
      </c>
      <c r="K122">
        <v>16</v>
      </c>
      <c r="L122" t="s">
        <v>88</v>
      </c>
      <c r="M122">
        <v>1742</v>
      </c>
      <c r="N122">
        <v>2559</v>
      </c>
      <c r="O122">
        <v>1742</v>
      </c>
      <c r="P122">
        <v>30</v>
      </c>
      <c r="Q122">
        <v>1</v>
      </c>
      <c r="R122">
        <v>31.508154999999999</v>
      </c>
      <c r="S122" t="s">
        <v>27</v>
      </c>
      <c r="T122">
        <v>2.1425419000000001E-2</v>
      </c>
      <c r="U122">
        <v>3.1385367999999997E-2</v>
      </c>
      <c r="V122">
        <v>18</v>
      </c>
      <c r="W122">
        <v>55</v>
      </c>
      <c r="X122">
        <v>70</v>
      </c>
      <c r="Y122">
        <v>30</v>
      </c>
      <c r="AC122">
        <f>U122/U123</f>
        <v>1.2159058533800158</v>
      </c>
      <c r="AD122">
        <f t="shared" ref="AD122" si="58">I122-I123</f>
        <v>17</v>
      </c>
    </row>
    <row r="123" spans="1:30" x14ac:dyDescent="0.25">
      <c r="A123">
        <v>8.7079589999999995E-3</v>
      </c>
      <c r="B123">
        <v>4.2741433021806801</v>
      </c>
      <c r="C123">
        <v>17.3333339691162</v>
      </c>
      <c r="D123">
        <v>2022</v>
      </c>
      <c r="E123">
        <v>25</v>
      </c>
      <c r="F123">
        <v>30</v>
      </c>
      <c r="G123" t="s">
        <v>25</v>
      </c>
      <c r="H123">
        <v>60</v>
      </c>
      <c r="I123">
        <v>140</v>
      </c>
      <c r="J123">
        <v>30</v>
      </c>
      <c r="K123">
        <v>16</v>
      </c>
      <c r="L123" t="s">
        <v>88</v>
      </c>
      <c r="M123">
        <v>1632</v>
      </c>
      <c r="N123">
        <v>2744</v>
      </c>
      <c r="O123">
        <v>1632</v>
      </c>
      <c r="P123">
        <v>30</v>
      </c>
      <c r="Q123">
        <v>1</v>
      </c>
      <c r="R123">
        <v>25.937014999999999</v>
      </c>
      <c r="S123" t="s">
        <v>28</v>
      </c>
      <c r="T123">
        <v>1.7104978999999999E-2</v>
      </c>
      <c r="U123">
        <v>2.5812333999999999E-2</v>
      </c>
      <c r="V123">
        <v>18</v>
      </c>
      <c r="W123">
        <v>60</v>
      </c>
      <c r="X123">
        <v>48</v>
      </c>
      <c r="Y123">
        <v>30</v>
      </c>
    </row>
    <row r="124" spans="1:30" x14ac:dyDescent="0.25">
      <c r="A124">
        <v>1.0406689999999999E-3</v>
      </c>
      <c r="B124">
        <v>1.8954248366013</v>
      </c>
      <c r="C124">
        <v>14.800000190734799</v>
      </c>
      <c r="D124">
        <v>87</v>
      </c>
      <c r="E124">
        <v>25</v>
      </c>
      <c r="F124">
        <v>29</v>
      </c>
      <c r="G124" t="s">
        <v>25</v>
      </c>
      <c r="H124">
        <v>61</v>
      </c>
      <c r="I124">
        <v>53</v>
      </c>
      <c r="J124">
        <v>29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12</v>
      </c>
      <c r="Q124">
        <v>1</v>
      </c>
      <c r="R124">
        <v>1.2330179999999999</v>
      </c>
      <c r="S124" t="s">
        <v>27</v>
      </c>
      <c r="T124">
        <v>1.6422299999999999E-4</v>
      </c>
      <c r="U124">
        <v>1.2043449999999999E-3</v>
      </c>
      <c r="V124">
        <v>5</v>
      </c>
      <c r="W124">
        <v>4</v>
      </c>
      <c r="X124">
        <v>35</v>
      </c>
      <c r="Y124">
        <v>29</v>
      </c>
      <c r="AC124">
        <f>U124/U125</f>
        <v>0.98852279517502661</v>
      </c>
      <c r="AD124">
        <f t="shared" ref="AD124" si="59">I124-I125</f>
        <v>2</v>
      </c>
    </row>
    <row r="125" spans="1:30" x14ac:dyDescent="0.25">
      <c r="A125">
        <v>1.040944E-3</v>
      </c>
      <c r="B125">
        <v>2.0457516339869199</v>
      </c>
      <c r="C125">
        <v>14.800000190734799</v>
      </c>
      <c r="D125">
        <v>87</v>
      </c>
      <c r="E125">
        <v>25</v>
      </c>
      <c r="F125">
        <v>29</v>
      </c>
      <c r="G125" t="s">
        <v>25</v>
      </c>
      <c r="H125">
        <v>61</v>
      </c>
      <c r="I125">
        <v>51</v>
      </c>
      <c r="J125">
        <v>29</v>
      </c>
      <c r="K125">
        <v>6</v>
      </c>
      <c r="L125" t="s">
        <v>89</v>
      </c>
      <c r="M125">
        <v>117</v>
      </c>
      <c r="N125">
        <v>313</v>
      </c>
      <c r="O125">
        <v>117</v>
      </c>
      <c r="P125">
        <v>12</v>
      </c>
      <c r="Q125">
        <v>1</v>
      </c>
      <c r="R125">
        <v>1.248891</v>
      </c>
      <c r="S125" t="s">
        <v>28</v>
      </c>
      <c r="T125">
        <v>1.7790699999999999E-4</v>
      </c>
      <c r="U125">
        <v>1.2183280000000001E-3</v>
      </c>
      <c r="V125">
        <v>5</v>
      </c>
      <c r="W125">
        <v>6</v>
      </c>
      <c r="X125">
        <v>31</v>
      </c>
      <c r="Y125">
        <v>29</v>
      </c>
    </row>
    <row r="126" spans="1:30" x14ac:dyDescent="0.25">
      <c r="A126">
        <v>1.342071E-3</v>
      </c>
      <c r="B126">
        <v>2.8150289017341001</v>
      </c>
      <c r="C126">
        <v>16.799999237060501</v>
      </c>
      <c r="D126">
        <v>136</v>
      </c>
      <c r="E126">
        <v>20</v>
      </c>
      <c r="F126">
        <v>6</v>
      </c>
      <c r="G126" t="s">
        <v>25</v>
      </c>
      <c r="H126">
        <v>62</v>
      </c>
      <c r="I126">
        <v>67</v>
      </c>
      <c r="J126">
        <v>6</v>
      </c>
      <c r="K126">
        <v>8</v>
      </c>
      <c r="L126" t="s">
        <v>90</v>
      </c>
      <c r="M126">
        <v>286</v>
      </c>
      <c r="N126">
        <v>487</v>
      </c>
      <c r="O126">
        <v>286</v>
      </c>
      <c r="P126">
        <v>6</v>
      </c>
      <c r="Q126">
        <v>1</v>
      </c>
      <c r="R126">
        <v>1.706183</v>
      </c>
      <c r="S126" t="s">
        <v>27</v>
      </c>
      <c r="T126">
        <v>3.3854499999999999E-4</v>
      </c>
      <c r="U126">
        <v>1.6801819999999999E-3</v>
      </c>
      <c r="V126">
        <v>5</v>
      </c>
      <c r="W126">
        <v>12</v>
      </c>
      <c r="X126">
        <v>47</v>
      </c>
      <c r="Y126">
        <v>6</v>
      </c>
      <c r="AC126">
        <f>U126/U127</f>
        <v>0.89861510600905148</v>
      </c>
      <c r="AD126">
        <f t="shared" ref="AD126" si="60">I126-I127</f>
        <v>-12</v>
      </c>
    </row>
    <row r="127" spans="1:30" x14ac:dyDescent="0.25">
      <c r="A127">
        <v>1.46923E-3</v>
      </c>
      <c r="B127">
        <v>2.8554913294797601</v>
      </c>
      <c r="C127">
        <v>16.799999237060501</v>
      </c>
      <c r="D127">
        <v>136</v>
      </c>
      <c r="E127">
        <v>20</v>
      </c>
      <c r="F127">
        <v>6</v>
      </c>
      <c r="G127" t="s">
        <v>25</v>
      </c>
      <c r="H127">
        <v>62</v>
      </c>
      <c r="I127">
        <v>79</v>
      </c>
      <c r="J127">
        <v>6</v>
      </c>
      <c r="K127">
        <v>9</v>
      </c>
      <c r="L127" t="s">
        <v>90</v>
      </c>
      <c r="M127">
        <v>274</v>
      </c>
      <c r="N127">
        <v>494</v>
      </c>
      <c r="O127">
        <v>274</v>
      </c>
      <c r="P127">
        <v>6</v>
      </c>
      <c r="Q127">
        <v>1</v>
      </c>
      <c r="R127">
        <v>1.902685</v>
      </c>
      <c r="S127" t="s">
        <v>28</v>
      </c>
      <c r="T127">
        <v>4.0091399999999999E-4</v>
      </c>
      <c r="U127">
        <v>1.869746E-3</v>
      </c>
      <c r="V127">
        <v>5</v>
      </c>
      <c r="W127">
        <v>7</v>
      </c>
      <c r="X127">
        <v>64</v>
      </c>
      <c r="Y127">
        <v>6</v>
      </c>
    </row>
    <row r="128" spans="1:30" x14ac:dyDescent="0.25">
      <c r="A128">
        <v>1.5740209000000002E-2</v>
      </c>
      <c r="B128">
        <v>4.4954407294832803</v>
      </c>
      <c r="C128">
        <v>15.949999809265099</v>
      </c>
      <c r="D128">
        <v>2246</v>
      </c>
      <c r="E128">
        <v>25</v>
      </c>
      <c r="F128">
        <v>355</v>
      </c>
      <c r="G128" t="s">
        <v>25</v>
      </c>
      <c r="H128">
        <v>63</v>
      </c>
      <c r="I128">
        <v>218</v>
      </c>
      <c r="J128">
        <v>355</v>
      </c>
      <c r="K128">
        <v>20</v>
      </c>
      <c r="L128" t="s">
        <v>91</v>
      </c>
      <c r="M128">
        <v>2059</v>
      </c>
      <c r="N128">
        <v>2958</v>
      </c>
      <c r="O128">
        <v>2059</v>
      </c>
      <c r="P128">
        <v>34</v>
      </c>
      <c r="Q128">
        <v>2</v>
      </c>
      <c r="R128">
        <v>47.423073000000002</v>
      </c>
      <c r="S128" t="s">
        <v>27</v>
      </c>
      <c r="T128">
        <v>3.1545012999999997E-2</v>
      </c>
      <c r="U128">
        <v>4.7284567999999999E-2</v>
      </c>
      <c r="V128">
        <v>20</v>
      </c>
      <c r="W128">
        <v>73</v>
      </c>
      <c r="X128">
        <v>108</v>
      </c>
      <c r="Y128">
        <v>355</v>
      </c>
      <c r="AC128">
        <f>U128/U129</f>
        <v>0.97188140632370179</v>
      </c>
      <c r="AD128">
        <f t="shared" ref="AD128" si="61">I128-I129</f>
        <v>19</v>
      </c>
    </row>
    <row r="129" spans="1:30" x14ac:dyDescent="0.25">
      <c r="A129">
        <v>1.3275898E-2</v>
      </c>
      <c r="B129">
        <v>5.4604863221884496</v>
      </c>
      <c r="C129">
        <v>15.949999809265099</v>
      </c>
      <c r="D129">
        <v>2246</v>
      </c>
      <c r="E129">
        <v>25</v>
      </c>
      <c r="F129">
        <v>355</v>
      </c>
      <c r="G129" t="s">
        <v>25</v>
      </c>
      <c r="H129">
        <v>63</v>
      </c>
      <c r="I129">
        <v>199</v>
      </c>
      <c r="J129">
        <v>355</v>
      </c>
      <c r="K129">
        <v>29</v>
      </c>
      <c r="L129" t="s">
        <v>91</v>
      </c>
      <c r="M129">
        <v>2225</v>
      </c>
      <c r="N129">
        <v>3593</v>
      </c>
      <c r="O129">
        <v>2225</v>
      </c>
      <c r="P129">
        <v>34</v>
      </c>
      <c r="Q129">
        <v>1</v>
      </c>
      <c r="R129">
        <v>48.85183</v>
      </c>
      <c r="S129" t="s">
        <v>28</v>
      </c>
      <c r="T129">
        <v>3.5377263999999999E-2</v>
      </c>
      <c r="U129">
        <v>4.8652610999999998E-2</v>
      </c>
      <c r="V129">
        <v>20</v>
      </c>
      <c r="W129">
        <v>79</v>
      </c>
      <c r="X129">
        <v>84</v>
      </c>
      <c r="Y129">
        <v>355</v>
      </c>
    </row>
    <row r="130" spans="1:30" x14ac:dyDescent="0.25">
      <c r="A130">
        <v>2.6943229999999898E-3</v>
      </c>
      <c r="B130">
        <v>4.6830601092896096</v>
      </c>
      <c r="C130">
        <v>17.799999237060501</v>
      </c>
      <c r="D130">
        <v>136</v>
      </c>
      <c r="E130">
        <v>25</v>
      </c>
      <c r="F130">
        <v>10</v>
      </c>
      <c r="G130" t="s">
        <v>25</v>
      </c>
      <c r="H130">
        <v>64</v>
      </c>
      <c r="I130">
        <v>107</v>
      </c>
      <c r="J130">
        <v>10</v>
      </c>
      <c r="K130">
        <v>18</v>
      </c>
      <c r="L130" t="s">
        <v>92</v>
      </c>
      <c r="M130">
        <v>623</v>
      </c>
      <c r="N130">
        <v>857</v>
      </c>
      <c r="O130">
        <v>623</v>
      </c>
      <c r="P130">
        <v>10</v>
      </c>
      <c r="Q130">
        <v>2</v>
      </c>
      <c r="R130">
        <v>4.1193030000000004</v>
      </c>
      <c r="S130" t="s">
        <v>27</v>
      </c>
      <c r="T130">
        <v>1.404101E-3</v>
      </c>
      <c r="U130">
        <v>4.097982E-3</v>
      </c>
      <c r="V130">
        <v>5</v>
      </c>
      <c r="W130">
        <v>38</v>
      </c>
      <c r="X130">
        <v>56</v>
      </c>
      <c r="Y130">
        <v>10</v>
      </c>
      <c r="AC130">
        <f>U130/U131</f>
        <v>1.4145049176525328</v>
      </c>
      <c r="AD130">
        <f t="shared" ref="AD130" si="62">I130-I131</f>
        <v>31</v>
      </c>
    </row>
    <row r="131" spans="1:30" x14ac:dyDescent="0.25">
      <c r="A131">
        <v>1.93092299999999E-3</v>
      </c>
      <c r="B131">
        <v>4.2513661202185702</v>
      </c>
      <c r="C131">
        <v>17.799999237060501</v>
      </c>
      <c r="D131">
        <v>136</v>
      </c>
      <c r="E131">
        <v>25</v>
      </c>
      <c r="F131">
        <v>10</v>
      </c>
      <c r="G131" t="s">
        <v>25</v>
      </c>
      <c r="H131">
        <v>64</v>
      </c>
      <c r="I131">
        <v>76</v>
      </c>
      <c r="J131">
        <v>10</v>
      </c>
      <c r="K131">
        <v>14</v>
      </c>
      <c r="L131" t="s">
        <v>92</v>
      </c>
      <c r="M131">
        <v>461</v>
      </c>
      <c r="N131">
        <v>778</v>
      </c>
      <c r="O131">
        <v>461</v>
      </c>
      <c r="P131">
        <v>10</v>
      </c>
      <c r="Q131">
        <v>1</v>
      </c>
      <c r="R131">
        <v>2.9314819999999999</v>
      </c>
      <c r="S131" t="s">
        <v>28</v>
      </c>
      <c r="T131">
        <v>9.6672700000000002E-4</v>
      </c>
      <c r="U131">
        <v>2.8971140000000001E-3</v>
      </c>
      <c r="V131">
        <v>5</v>
      </c>
      <c r="W131">
        <v>29</v>
      </c>
      <c r="X131">
        <v>35</v>
      </c>
      <c r="Y131">
        <v>10</v>
      </c>
    </row>
    <row r="132" spans="1:30" x14ac:dyDescent="0.25">
      <c r="A132">
        <v>9.1443999999999998E-4</v>
      </c>
      <c r="B132">
        <v>1.9299363057324801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1.040225</v>
      </c>
      <c r="S132" t="s">
        <v>27</v>
      </c>
      <c r="T132" s="1">
        <v>9.6533999999999994E-5</v>
      </c>
      <c r="U132">
        <v>1.010508E-3</v>
      </c>
      <c r="V132">
        <v>5</v>
      </c>
      <c r="W132">
        <v>3</v>
      </c>
      <c r="X132">
        <v>36</v>
      </c>
      <c r="Y132">
        <v>5</v>
      </c>
      <c r="AC132">
        <f>U132/U133</f>
        <v>1.0512054177481185</v>
      </c>
      <c r="AD132">
        <f t="shared" ref="AD132" si="63">I132-I133</f>
        <v>-2</v>
      </c>
    </row>
    <row r="133" spans="1:30" x14ac:dyDescent="0.25">
      <c r="A133">
        <v>8.5690699999999996E-4</v>
      </c>
      <c r="B133">
        <v>1.9617834394904401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48</v>
      </c>
      <c r="J133">
        <v>5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0.98610699999999996</v>
      </c>
      <c r="S133" t="s">
        <v>28</v>
      </c>
      <c r="T133">
        <v>1.04799E-4</v>
      </c>
      <c r="U133">
        <v>9.6128499999999998E-4</v>
      </c>
      <c r="V133">
        <v>5</v>
      </c>
      <c r="W133">
        <v>2</v>
      </c>
      <c r="X133">
        <v>39</v>
      </c>
      <c r="Y133">
        <v>5</v>
      </c>
    </row>
    <row r="134" spans="1:30" x14ac:dyDescent="0.25">
      <c r="A134">
        <v>1.3245582999999899E-2</v>
      </c>
      <c r="B134">
        <v>4.6613756613756596</v>
      </c>
      <c r="C134">
        <v>15.25</v>
      </c>
      <c r="D134">
        <v>2865</v>
      </c>
      <c r="E134">
        <v>25</v>
      </c>
      <c r="F134">
        <v>339</v>
      </c>
      <c r="G134" t="s">
        <v>25</v>
      </c>
      <c r="H134">
        <v>66</v>
      </c>
      <c r="I134">
        <v>177</v>
      </c>
      <c r="J134">
        <v>339</v>
      </c>
      <c r="K134">
        <v>18</v>
      </c>
      <c r="L134" t="s">
        <v>94</v>
      </c>
      <c r="M134">
        <v>2489</v>
      </c>
      <c r="N134">
        <v>3524</v>
      </c>
      <c r="O134">
        <v>2489</v>
      </c>
      <c r="P134">
        <v>42</v>
      </c>
      <c r="Q134">
        <v>1</v>
      </c>
      <c r="R134">
        <v>46.363981000000003</v>
      </c>
      <c r="S134" t="s">
        <v>27</v>
      </c>
      <c r="T134">
        <v>3.2974549999999998E-2</v>
      </c>
      <c r="U134">
        <v>4.6219612E-2</v>
      </c>
      <c r="V134">
        <v>24</v>
      </c>
      <c r="W134">
        <v>81</v>
      </c>
      <c r="X134">
        <v>52</v>
      </c>
      <c r="Y134">
        <v>339</v>
      </c>
      <c r="AC134">
        <f>U134/U135</f>
        <v>0.83142686081396366</v>
      </c>
      <c r="AD134">
        <f t="shared" ref="AD134" si="64">I134-I135</f>
        <v>-6</v>
      </c>
    </row>
    <row r="135" spans="1:30" x14ac:dyDescent="0.25">
      <c r="A135">
        <v>1.4952781E-2</v>
      </c>
      <c r="B135">
        <v>5.4484126984126897</v>
      </c>
      <c r="C135">
        <v>15.25</v>
      </c>
      <c r="D135">
        <v>2865</v>
      </c>
      <c r="E135">
        <v>25</v>
      </c>
      <c r="F135">
        <v>339</v>
      </c>
      <c r="G135" t="s">
        <v>25</v>
      </c>
      <c r="H135">
        <v>66</v>
      </c>
      <c r="I135">
        <v>183</v>
      </c>
      <c r="J135">
        <v>339</v>
      </c>
      <c r="K135">
        <v>25</v>
      </c>
      <c r="L135" t="s">
        <v>94</v>
      </c>
      <c r="M135">
        <v>2510</v>
      </c>
      <c r="N135">
        <v>4119</v>
      </c>
      <c r="O135">
        <v>2510</v>
      </c>
      <c r="P135">
        <v>42</v>
      </c>
      <c r="Q135">
        <v>1</v>
      </c>
      <c r="R135">
        <v>55.748403000000003</v>
      </c>
      <c r="S135" t="s">
        <v>28</v>
      </c>
      <c r="T135">
        <v>4.0638623999999998E-2</v>
      </c>
      <c r="U135">
        <v>5.5590713E-2</v>
      </c>
      <c r="V135">
        <v>24</v>
      </c>
      <c r="W135">
        <v>93</v>
      </c>
      <c r="X135">
        <v>46</v>
      </c>
      <c r="Y135">
        <v>339</v>
      </c>
    </row>
    <row r="136" spans="1:30" x14ac:dyDescent="0.25">
      <c r="A136">
        <v>2.3591749999999998E-3</v>
      </c>
      <c r="B136">
        <v>2.4316546762589901</v>
      </c>
      <c r="C136">
        <v>13.399999618530201</v>
      </c>
      <c r="D136">
        <v>72</v>
      </c>
      <c r="E136">
        <v>25</v>
      </c>
      <c r="F136">
        <v>16</v>
      </c>
      <c r="G136" t="s">
        <v>25</v>
      </c>
      <c r="H136">
        <v>67</v>
      </c>
      <c r="I136">
        <v>100</v>
      </c>
      <c r="J136">
        <v>16</v>
      </c>
      <c r="K136">
        <v>6</v>
      </c>
      <c r="L136" t="s">
        <v>95</v>
      </c>
      <c r="M136">
        <v>181</v>
      </c>
      <c r="N136">
        <v>338</v>
      </c>
      <c r="O136">
        <v>181</v>
      </c>
      <c r="P136">
        <v>16</v>
      </c>
      <c r="Q136">
        <v>2</v>
      </c>
      <c r="R136">
        <v>3.0864060000000002</v>
      </c>
      <c r="S136" t="s">
        <v>27</v>
      </c>
      <c r="T136">
        <v>6.9970899999999996E-4</v>
      </c>
      <c r="U136">
        <v>3.058285E-3</v>
      </c>
      <c r="V136">
        <v>5</v>
      </c>
      <c r="W136">
        <v>5</v>
      </c>
      <c r="X136">
        <v>76</v>
      </c>
      <c r="Y136">
        <v>16</v>
      </c>
      <c r="AC136">
        <f>U136/U137</f>
        <v>1.6478396884375321</v>
      </c>
      <c r="AD136">
        <f t="shared" ref="AD136" si="65">I136-I137</f>
        <v>10</v>
      </c>
    </row>
    <row r="137" spans="1:30" x14ac:dyDescent="0.25">
      <c r="A137">
        <v>1.547791E-3</v>
      </c>
      <c r="B137">
        <v>2.5683453237410001</v>
      </c>
      <c r="C137">
        <v>13.399999618530201</v>
      </c>
      <c r="D137">
        <v>72</v>
      </c>
      <c r="E137">
        <v>25</v>
      </c>
      <c r="F137">
        <v>16</v>
      </c>
      <c r="G137" t="s">
        <v>25</v>
      </c>
      <c r="H137">
        <v>67</v>
      </c>
      <c r="I137">
        <v>90</v>
      </c>
      <c r="J137">
        <v>16</v>
      </c>
      <c r="K137">
        <v>7</v>
      </c>
      <c r="L137" t="s">
        <v>95</v>
      </c>
      <c r="M137">
        <v>172</v>
      </c>
      <c r="N137">
        <v>357</v>
      </c>
      <c r="O137">
        <v>172</v>
      </c>
      <c r="P137">
        <v>16</v>
      </c>
      <c r="Q137">
        <v>2</v>
      </c>
      <c r="R137">
        <v>1.887167</v>
      </c>
      <c r="S137" t="s">
        <v>28</v>
      </c>
      <c r="T137">
        <v>3.0860099999999998E-4</v>
      </c>
      <c r="U137">
        <v>1.8559360000000001E-3</v>
      </c>
      <c r="V137">
        <v>5</v>
      </c>
      <c r="W137">
        <v>7</v>
      </c>
      <c r="X137">
        <v>64</v>
      </c>
      <c r="Y137">
        <v>16</v>
      </c>
    </row>
    <row r="138" spans="1:30" x14ac:dyDescent="0.25">
      <c r="A138">
        <v>2.3844259999999998E-3</v>
      </c>
      <c r="B138">
        <v>3.8730964467005</v>
      </c>
      <c r="C138">
        <v>13.571428298950099</v>
      </c>
      <c r="D138">
        <v>150</v>
      </c>
      <c r="E138">
        <v>25</v>
      </c>
      <c r="F138">
        <v>70</v>
      </c>
      <c r="G138" t="s">
        <v>25</v>
      </c>
      <c r="H138">
        <v>68</v>
      </c>
      <c r="I138">
        <v>83</v>
      </c>
      <c r="J138">
        <v>70</v>
      </c>
      <c r="K138">
        <v>12</v>
      </c>
      <c r="L138" t="s">
        <v>96</v>
      </c>
      <c r="M138">
        <v>494</v>
      </c>
      <c r="N138">
        <v>763</v>
      </c>
      <c r="O138">
        <v>494</v>
      </c>
      <c r="P138">
        <v>16</v>
      </c>
      <c r="Q138">
        <v>1</v>
      </c>
      <c r="R138">
        <v>3.403645</v>
      </c>
      <c r="S138" t="s">
        <v>27</v>
      </c>
      <c r="T138">
        <v>9.926920000000001E-4</v>
      </c>
      <c r="U138">
        <v>3.376535E-3</v>
      </c>
      <c r="V138">
        <v>7</v>
      </c>
      <c r="W138">
        <v>33</v>
      </c>
      <c r="X138">
        <v>32</v>
      </c>
      <c r="Y138">
        <v>70</v>
      </c>
      <c r="AC138">
        <f>U138/U139</f>
        <v>1.085021206939822</v>
      </c>
      <c r="AD138">
        <f t="shared" ref="AD138" si="66">I138-I139</f>
        <v>-1</v>
      </c>
    </row>
    <row r="139" spans="1:30" x14ac:dyDescent="0.25">
      <c r="A139">
        <v>2.246741E-3</v>
      </c>
      <c r="B139">
        <v>3.43654822335025</v>
      </c>
      <c r="C139">
        <v>13.571428298950099</v>
      </c>
      <c r="D139">
        <v>150</v>
      </c>
      <c r="E139">
        <v>25</v>
      </c>
      <c r="F139">
        <v>70</v>
      </c>
      <c r="G139" t="s">
        <v>25</v>
      </c>
      <c r="H139">
        <v>68</v>
      </c>
      <c r="I139">
        <v>84</v>
      </c>
      <c r="J139">
        <v>70</v>
      </c>
      <c r="K139">
        <v>9</v>
      </c>
      <c r="L139" t="s">
        <v>96</v>
      </c>
      <c r="M139">
        <v>337</v>
      </c>
      <c r="N139">
        <v>677</v>
      </c>
      <c r="O139">
        <v>337</v>
      </c>
      <c r="P139">
        <v>16</v>
      </c>
      <c r="Q139">
        <v>1</v>
      </c>
      <c r="R139">
        <v>3.1825380000000001</v>
      </c>
      <c r="S139" t="s">
        <v>28</v>
      </c>
      <c r="T139">
        <v>8.6583999999999999E-4</v>
      </c>
      <c r="U139">
        <v>3.1119530000000002E-3</v>
      </c>
      <c r="V139">
        <v>7</v>
      </c>
      <c r="W139">
        <v>28</v>
      </c>
      <c r="X139">
        <v>38</v>
      </c>
      <c r="Y139">
        <v>70</v>
      </c>
    </row>
    <row r="140" spans="1:30" x14ac:dyDescent="0.25">
      <c r="A140">
        <v>1.070503E-3</v>
      </c>
      <c r="B140">
        <v>1.5454545454545401</v>
      </c>
      <c r="C140">
        <v>12.857142448425201</v>
      </c>
      <c r="D140">
        <v>126</v>
      </c>
      <c r="E140">
        <v>25</v>
      </c>
      <c r="F140">
        <v>53</v>
      </c>
      <c r="G140" t="s">
        <v>25</v>
      </c>
      <c r="H140">
        <v>69</v>
      </c>
      <c r="I140">
        <v>52</v>
      </c>
      <c r="J140">
        <v>53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11</v>
      </c>
      <c r="Q140">
        <v>1</v>
      </c>
      <c r="R140">
        <v>1.2734000000000001</v>
      </c>
      <c r="S140" t="s">
        <v>27</v>
      </c>
      <c r="T140">
        <v>1.6326000000000001E-4</v>
      </c>
      <c r="U140">
        <v>1.2333209999999999E-3</v>
      </c>
      <c r="V140">
        <v>7</v>
      </c>
      <c r="W140">
        <v>3</v>
      </c>
      <c r="X140">
        <v>36</v>
      </c>
      <c r="Y140">
        <v>53</v>
      </c>
      <c r="AC140">
        <f>U140/U141</f>
        <v>0.95646687941804875</v>
      </c>
      <c r="AD140">
        <f t="shared" ref="AD140" si="67">I140-I141</f>
        <v>2</v>
      </c>
    </row>
    <row r="141" spans="1:30" x14ac:dyDescent="0.25">
      <c r="A141">
        <v>1.1148149999999999E-3</v>
      </c>
      <c r="B141">
        <v>1.6256684491978599</v>
      </c>
      <c r="C141">
        <v>12.857142448425201</v>
      </c>
      <c r="D141">
        <v>126</v>
      </c>
      <c r="E141">
        <v>25</v>
      </c>
      <c r="F141">
        <v>53</v>
      </c>
      <c r="G141" t="s">
        <v>25</v>
      </c>
      <c r="H141">
        <v>69</v>
      </c>
      <c r="I141">
        <v>50</v>
      </c>
      <c r="J141">
        <v>53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11</v>
      </c>
      <c r="Q141">
        <v>1</v>
      </c>
      <c r="R141">
        <v>1.3316600000000001</v>
      </c>
      <c r="S141" t="s">
        <v>28</v>
      </c>
      <c r="T141">
        <v>1.75224E-4</v>
      </c>
      <c r="U141">
        <v>1.2894549999999999E-3</v>
      </c>
      <c r="V141">
        <v>7</v>
      </c>
      <c r="W141">
        <v>3</v>
      </c>
      <c r="X141">
        <v>34</v>
      </c>
      <c r="Y141">
        <v>53</v>
      </c>
    </row>
    <row r="142" spans="1:30" x14ac:dyDescent="0.25">
      <c r="A142">
        <v>1.7620978999999998E-2</v>
      </c>
      <c r="B142">
        <v>4.9924528301886699</v>
      </c>
      <c r="C142">
        <v>15.399999618530201</v>
      </c>
      <c r="D142">
        <v>3202</v>
      </c>
      <c r="E142">
        <v>25</v>
      </c>
      <c r="F142">
        <v>415</v>
      </c>
      <c r="G142" t="s">
        <v>25</v>
      </c>
      <c r="H142">
        <v>70</v>
      </c>
      <c r="I142">
        <v>188</v>
      </c>
      <c r="J142">
        <v>415</v>
      </c>
      <c r="K142">
        <v>21</v>
      </c>
      <c r="L142" t="s">
        <v>98</v>
      </c>
      <c r="M142">
        <v>2858</v>
      </c>
      <c r="N142">
        <v>3969</v>
      </c>
      <c r="O142">
        <v>2858</v>
      </c>
      <c r="P142">
        <v>46</v>
      </c>
      <c r="Q142">
        <v>3</v>
      </c>
      <c r="R142">
        <v>62.149306000000003</v>
      </c>
      <c r="S142" t="s">
        <v>27</v>
      </c>
      <c r="T142">
        <v>4.4374550999999998E-2</v>
      </c>
      <c r="U142">
        <v>6.1994721000000003E-2</v>
      </c>
      <c r="V142">
        <v>25</v>
      </c>
      <c r="W142">
        <v>94</v>
      </c>
      <c r="X142">
        <v>44</v>
      </c>
      <c r="Y142">
        <v>415</v>
      </c>
      <c r="AC142">
        <f>U142/U143</f>
        <v>1.0988188871217865</v>
      </c>
      <c r="AD142">
        <f t="shared" ref="AD142" si="68">I142-I143</f>
        <v>22</v>
      </c>
    </row>
    <row r="143" spans="1:30" x14ac:dyDescent="0.25">
      <c r="A143">
        <v>1.35007569999999E-2</v>
      </c>
      <c r="B143">
        <v>5.4251572327044002</v>
      </c>
      <c r="C143">
        <v>15.399999618530201</v>
      </c>
      <c r="D143">
        <v>3202</v>
      </c>
      <c r="E143">
        <v>25</v>
      </c>
      <c r="F143">
        <v>415</v>
      </c>
      <c r="G143" t="s">
        <v>25</v>
      </c>
      <c r="H143">
        <v>70</v>
      </c>
      <c r="I143">
        <v>166</v>
      </c>
      <c r="J143">
        <v>415</v>
      </c>
      <c r="K143">
        <v>20</v>
      </c>
      <c r="L143" t="s">
        <v>98</v>
      </c>
      <c r="M143">
        <v>2593</v>
      </c>
      <c r="N143">
        <v>4313</v>
      </c>
      <c r="O143">
        <v>2593</v>
      </c>
      <c r="P143">
        <v>46</v>
      </c>
      <c r="Q143">
        <v>1</v>
      </c>
      <c r="R143">
        <v>56.611415000000001</v>
      </c>
      <c r="S143" t="s">
        <v>28</v>
      </c>
      <c r="T143">
        <v>4.2919219000000002E-2</v>
      </c>
      <c r="U143">
        <v>5.6419416999999999E-2</v>
      </c>
      <c r="V143">
        <v>25</v>
      </c>
      <c r="W143">
        <v>82</v>
      </c>
      <c r="X143">
        <v>36</v>
      </c>
      <c r="Y143">
        <v>415</v>
      </c>
    </row>
    <row r="144" spans="1:30" x14ac:dyDescent="0.25">
      <c r="A144">
        <v>5.4140619999999999E-3</v>
      </c>
      <c r="B144">
        <v>3.9145299145299099</v>
      </c>
      <c r="C144">
        <v>16.214284896850501</v>
      </c>
      <c r="D144">
        <v>970</v>
      </c>
      <c r="E144">
        <v>25</v>
      </c>
      <c r="F144">
        <v>98</v>
      </c>
      <c r="G144" t="s">
        <v>25</v>
      </c>
      <c r="H144">
        <v>71</v>
      </c>
      <c r="I144">
        <v>130</v>
      </c>
      <c r="J144">
        <v>98</v>
      </c>
      <c r="K144">
        <v>24</v>
      </c>
      <c r="L144" t="s">
        <v>99</v>
      </c>
      <c r="M144">
        <v>1173</v>
      </c>
      <c r="N144">
        <v>1832</v>
      </c>
      <c r="O144">
        <v>1173</v>
      </c>
      <c r="P144">
        <v>60</v>
      </c>
      <c r="Q144">
        <v>1</v>
      </c>
      <c r="R144">
        <v>26.069887999999999</v>
      </c>
      <c r="S144" t="s">
        <v>27</v>
      </c>
      <c r="T144">
        <v>2.0541344E-2</v>
      </c>
      <c r="U144">
        <v>2.5954694E-2</v>
      </c>
      <c r="V144">
        <v>14</v>
      </c>
      <c r="W144">
        <v>52</v>
      </c>
      <c r="X144">
        <v>16</v>
      </c>
      <c r="Y144">
        <v>98</v>
      </c>
      <c r="AC144">
        <f>U144/U145</f>
        <v>0.54136043531106626</v>
      </c>
      <c r="AD144">
        <f t="shared" ref="AD144" si="69">I144-I145</f>
        <v>-19</v>
      </c>
    </row>
    <row r="145" spans="1:25" x14ac:dyDescent="0.25">
      <c r="A145">
        <v>6.6058319999999903E-3</v>
      </c>
      <c r="B145">
        <v>4.4081196581196496</v>
      </c>
      <c r="C145">
        <v>16.214284896850501</v>
      </c>
      <c r="D145">
        <v>970</v>
      </c>
      <c r="E145">
        <v>25</v>
      </c>
      <c r="F145">
        <v>98</v>
      </c>
      <c r="G145" t="s">
        <v>25</v>
      </c>
      <c r="H145">
        <v>71</v>
      </c>
      <c r="I145">
        <v>149</v>
      </c>
      <c r="J145">
        <v>98</v>
      </c>
      <c r="K145">
        <v>30</v>
      </c>
      <c r="L145" t="s">
        <v>99</v>
      </c>
      <c r="M145">
        <v>997</v>
      </c>
      <c r="N145">
        <v>2063</v>
      </c>
      <c r="O145">
        <v>997</v>
      </c>
      <c r="P145">
        <v>73</v>
      </c>
      <c r="Q145">
        <v>1</v>
      </c>
      <c r="R145">
        <v>48.101143</v>
      </c>
      <c r="S145" t="s">
        <v>28</v>
      </c>
      <c r="T145">
        <v>4.1338194000000002E-2</v>
      </c>
      <c r="U145">
        <v>4.7943462999999999E-2</v>
      </c>
      <c r="V145">
        <v>14</v>
      </c>
      <c r="W145">
        <v>52</v>
      </c>
      <c r="X145">
        <v>22</v>
      </c>
      <c r="Y145">
        <v>98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2026-01-16T17:41:19Z</dcterms:created>
  <dcterms:modified xsi:type="dcterms:W3CDTF">2026-01-17T12:07:20Z</dcterms:modified>
</cp:coreProperties>
</file>