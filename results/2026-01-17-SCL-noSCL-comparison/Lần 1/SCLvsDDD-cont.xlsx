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"/>
    </mc:Choice>
  </mc:AlternateContent>
  <bookViews>
    <workbookView xWindow="0" yWindow="0" windowWidth="10080" windowHeight="7515"/>
  </bookViews>
  <sheets>
    <sheet name="Sheet1" sheetId="1" r:id="rId1"/>
  </sheets>
  <definedNames>
    <definedName name="results_maxsat_ddd_vs_scl_cont" localSheetId="0">Sheet1!$A$1:$Y$145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144" i="1" l="1"/>
  <c r="AC144" i="1"/>
  <c r="AD142" i="1"/>
  <c r="AC142" i="1"/>
  <c r="AD140" i="1"/>
  <c r="AC140" i="1"/>
  <c r="AD138" i="1"/>
  <c r="AC138" i="1"/>
  <c r="AD136" i="1"/>
  <c r="AC136" i="1"/>
  <c r="AD134" i="1"/>
  <c r="AC134" i="1"/>
  <c r="AD132" i="1"/>
  <c r="AC132" i="1"/>
  <c r="AD130" i="1"/>
  <c r="AC130" i="1"/>
  <c r="AD128" i="1"/>
  <c r="AC128" i="1"/>
  <c r="AD126" i="1"/>
  <c r="AC126" i="1"/>
  <c r="AD124" i="1"/>
  <c r="AC124" i="1"/>
  <c r="AD122" i="1"/>
  <c r="AC122" i="1"/>
  <c r="AD120" i="1"/>
  <c r="AC120" i="1"/>
  <c r="AD118" i="1"/>
  <c r="AC118" i="1"/>
  <c r="AD116" i="1"/>
  <c r="AC116" i="1"/>
  <c r="AD114" i="1"/>
  <c r="AC114" i="1"/>
  <c r="AD112" i="1"/>
  <c r="AC112" i="1"/>
  <c r="AD110" i="1"/>
  <c r="AC110" i="1"/>
  <c r="AD108" i="1"/>
  <c r="AC108" i="1"/>
  <c r="AD106" i="1"/>
  <c r="AC106" i="1"/>
  <c r="AD104" i="1"/>
  <c r="AC104" i="1"/>
  <c r="AD102" i="1"/>
  <c r="AC102" i="1"/>
  <c r="AD100" i="1"/>
  <c r="AC100" i="1"/>
  <c r="AD98" i="1"/>
  <c r="AC98" i="1"/>
  <c r="AD96" i="1"/>
  <c r="AC96" i="1"/>
  <c r="AD94" i="1"/>
  <c r="AC94" i="1"/>
  <c r="AD92" i="1"/>
  <c r="AC92" i="1"/>
  <c r="AD90" i="1"/>
  <c r="AC90" i="1"/>
  <c r="AD88" i="1"/>
  <c r="AC88" i="1"/>
  <c r="AD86" i="1"/>
  <c r="AC86" i="1"/>
  <c r="AD84" i="1"/>
  <c r="AC84" i="1"/>
  <c r="AD82" i="1"/>
  <c r="AC82" i="1"/>
  <c r="AD80" i="1"/>
  <c r="AC80" i="1"/>
  <c r="AD78" i="1"/>
  <c r="AC78" i="1"/>
  <c r="AD76" i="1"/>
  <c r="AC76" i="1"/>
  <c r="AD74" i="1"/>
  <c r="AC74" i="1"/>
  <c r="AD72" i="1"/>
  <c r="AC72" i="1"/>
  <c r="AD70" i="1"/>
  <c r="AC70" i="1"/>
  <c r="AD68" i="1"/>
  <c r="AC68" i="1"/>
  <c r="AD66" i="1"/>
  <c r="AC66" i="1"/>
  <c r="AD64" i="1"/>
  <c r="AC64" i="1"/>
  <c r="AD62" i="1"/>
  <c r="AC62" i="1"/>
  <c r="AD60" i="1"/>
  <c r="AC60" i="1"/>
  <c r="AD58" i="1"/>
  <c r="AC58" i="1"/>
  <c r="AD56" i="1"/>
  <c r="AC56" i="1"/>
  <c r="AD54" i="1"/>
  <c r="AC54" i="1"/>
  <c r="AD52" i="1"/>
  <c r="AC52" i="1"/>
  <c r="AD50" i="1"/>
  <c r="AC50" i="1"/>
  <c r="AD48" i="1"/>
  <c r="AC48" i="1"/>
  <c r="AD46" i="1"/>
  <c r="AC46" i="1"/>
  <c r="AD44" i="1"/>
  <c r="AC44" i="1"/>
  <c r="AD42" i="1"/>
  <c r="AC42" i="1"/>
  <c r="AD40" i="1"/>
  <c r="AC40" i="1"/>
  <c r="AD38" i="1"/>
  <c r="AC38" i="1"/>
  <c r="AD36" i="1"/>
  <c r="AC36" i="1"/>
  <c r="AD34" i="1"/>
  <c r="AC34" i="1"/>
  <c r="AD32" i="1"/>
  <c r="AC32" i="1"/>
  <c r="AD30" i="1"/>
  <c r="AC30" i="1"/>
  <c r="AD28" i="1"/>
  <c r="AC28" i="1"/>
  <c r="AD26" i="1"/>
  <c r="AC26" i="1"/>
  <c r="AD24" i="1"/>
  <c r="AC24" i="1"/>
  <c r="AD22" i="1"/>
  <c r="AC22" i="1"/>
  <c r="AD20" i="1"/>
  <c r="AC20" i="1"/>
  <c r="AD18" i="1"/>
  <c r="AC18" i="1"/>
  <c r="AD16" i="1"/>
  <c r="AC16" i="1"/>
  <c r="AD14" i="1"/>
  <c r="AC14" i="1"/>
  <c r="AD12" i="1"/>
  <c r="AC12" i="1"/>
  <c r="AD10" i="1"/>
  <c r="AC10" i="1"/>
  <c r="AD8" i="1"/>
  <c r="AC8" i="1"/>
  <c r="AD6" i="1"/>
  <c r="AC6" i="1"/>
  <c r="AD4" i="1"/>
  <c r="AC4" i="1"/>
  <c r="AJ3" i="1"/>
  <c r="AI3" i="1"/>
  <c r="AH3" i="1"/>
  <c r="AG3" i="1"/>
  <c r="AF3" i="1"/>
  <c r="AE3" i="1"/>
  <c r="AD2" i="1"/>
  <c r="AC2" i="1"/>
  <c r="AB1" i="1"/>
  <c r="AA1" i="1"/>
</calcChain>
</file>

<file path=xl/connections.xml><?xml version="1.0" encoding="utf-8"?>
<connections xmlns="http://schemas.openxmlformats.org/spreadsheetml/2006/main">
  <connection id="1" name="results_maxsat_ddd_vs_scl-cont" type="6" refreshedVersion="5" background="1" saveData="1">
    <textPr codePage="437" sourceFile="D:\github\maxsattrainscheduling\results_maxsat_ddd_vs_scl-cont.csv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<sst xmlns="http://schemas.openxmlformats.org/spreadsheetml/2006/main" count="468" uniqueCount="107">
  <si>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</si>
  <si>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</si>
  <si>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</si>
  <si>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</si>
  <si>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</si>
  <si>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</si>
  <si>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</si>
  <si>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</si>
  <si>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</si>
  <si>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</si>
  <si>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</si>
  <si>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</si>
  <si>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</si>
  <si>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</si>
  <si>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</si>
  <si>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</si>
  <si>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</si>
  <si>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</si>
  <si>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</si>
  <si>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</si>
  <si>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total_time</t>
  </si>
  <si>
    <t>trains</t>
  </si>
  <si>
    <t>travel_and_resource_iters</t>
  </si>
  <si>
    <t>travel_iters</t>
  </si>
  <si>
    <t>ub</t>
  </si>
  <si>
    <t>Continuous</t>
  </si>
  <si>
    <t>origA1</t>
  </si>
  <si>
    <t>MaxSatDddLadderRC2</t>
  </si>
  <si>
    <t>MaxSatDddLadderScl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</si>
  <si>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</si>
  <si>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</si>
  <si>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</si>
  <si>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</si>
  <si>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</si>
  <si>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</si>
  <si>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</si>
  <si>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</si>
  <si>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</si>
  <si>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</si>
  <si>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</si>
  <si>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</si>
  <si>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</si>
  <si>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</si>
  <si>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</si>
  <si>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</si>
  <si>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</si>
  <si>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</si>
  <si>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</si>
  <si>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</si>
  <si>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</si>
  <si>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</si>
  <si>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</si>
  <si>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</si>
  <si>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</si>
  <si>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</si>
  <si>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</si>
  <si>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</si>
  <si>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</si>
  <si>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</si>
  <si>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</si>
  <si>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</si>
  <si>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</si>
  <si>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</si>
  <si>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</si>
  <si>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</si>
  <si>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</si>
  <si>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</si>
  <si>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</si>
  <si>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</si>
  <si>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</si>
  <si>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</si>
  <si>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</si>
  <si>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</si>
  <si>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</si>
  <si>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</si>
  <si>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</si>
  <si>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</si>
  <si>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</si>
  <si>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</si>
  <si>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</si>
  <si>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</si>
  <si>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</si>
  <si>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</si>
  <si>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</si>
  <si>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</si>
  <si>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</si>
  <si>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</si>
  <si>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</si>
  <si>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</si>
  <si>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</si>
  <si>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</si>
  <si>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</si>
  <si>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</si>
  <si>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</si>
  <si>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</si>
  <si>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</si>
  <si>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</si>
  <si>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</si>
  <si>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</si>
  <si>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</si>
  <si>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Speed-up</t>
  </si>
  <si>
    <t>iter-differ</t>
  </si>
  <si>
    <t>original average</t>
  </si>
  <si>
    <t>track average</t>
  </si>
  <si>
    <t>RC2</t>
  </si>
  <si>
    <t>SCL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</si>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</sst>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0" fillId="0" borderId="1" xfId="0" applyBorder="1" applyAlignment="1">
      <alignment horizontal="center"/>
    </xf>
    <xf numFmtId="0" fontId="0" fillId="2" borderId="0" xfId="0" applyFill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maxsat_ddd_vs_scl-cont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45"/>
  <sheetViews>
    <sheetView tabSelected="1" topLeftCell="F1" workbookViewId="0">
      <selection activeCell="AE10" sqref="AE10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6" bestFit="1" customWidth="1"/>
    <col min="7" max="7" width="15.5703125" bestFit="1" customWidth="1"/>
    <col min="8" max="8" width="6" bestFit="1" customWidth="1"/>
    <col min="9" max="9" width="9.5703125" bestFit="1" customWidth="1"/>
    <col min="10" max="10" width="6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2" bestFit="1" customWidth="1"/>
    <col min="19" max="19" width="20.5703125" bestFit="1" customWidth="1"/>
    <col min="20" max="21" width="12" bestFit="1" customWidth="1"/>
    <col min="22" max="22" width="6" bestFit="1" customWidth="1"/>
    <col min="23" max="23" width="24.5703125" bestFit="1" customWidth="1"/>
    <col min="24" max="24" width="11.140625" bestFit="1" customWidth="1"/>
    <col min="25" max="25" width="11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A1">
        <f>AVERAGEIF(S:S, "MaxSatDddLadderRC2",U:U )</f>
        <v>25.961661894555565</v>
      </c>
      <c r="AB1">
        <f>AVERAGEIF(S:S, "MaxSatDddLadderSCL",U:U )</f>
        <v>26.855860120499997</v>
      </c>
      <c r="AC1" t="s">
        <v>100</v>
      </c>
      <c r="AD1" t="s">
        <v>101</v>
      </c>
      <c r="AE1" s="2" t="s">
        <v>102</v>
      </c>
      <c r="AF1" s="2"/>
      <c r="AG1" s="2" t="s">
        <v>103</v>
      </c>
      <c r="AH1" s="2"/>
      <c r="AI1" s="2" t="s">
        <v>106</v>
      </c>
      <c r="AJ1" s="2"/>
    </row>
    <row r="2" spans="1:36" x14ac:dyDescent="0.25">
      <c r="A2">
        <v>1.257427E-2</v>
      </c>
      <c r="B2">
        <v>2.1810136765888899</v>
      </c>
      <c r="C2">
        <v>20.931034088134702</v>
      </c>
      <c r="D2">
        <v>5915</v>
      </c>
      <c r="E2">
        <v>33</v>
      </c>
      <c r="F2">
        <v>5526</v>
      </c>
      <c r="G2" t="s">
        <v>25</v>
      </c>
      <c r="H2">
        <v>0</v>
      </c>
      <c r="I2">
        <v>231</v>
      </c>
      <c r="J2">
        <v>5526</v>
      </c>
      <c r="K2">
        <v>10</v>
      </c>
      <c r="L2" t="s">
        <v>26</v>
      </c>
      <c r="M2">
        <v>1361</v>
      </c>
      <c r="N2">
        <v>2711</v>
      </c>
      <c r="O2">
        <v>1361</v>
      </c>
      <c r="P2">
        <v>36</v>
      </c>
      <c r="Q2">
        <v>1</v>
      </c>
      <c r="R2">
        <v>21.210508999999998</v>
      </c>
      <c r="S2" t="s">
        <v>27</v>
      </c>
      <c r="T2">
        <v>7.760594E-3</v>
      </c>
      <c r="U2">
        <v>2.0334120000000001E-2</v>
      </c>
      <c r="V2">
        <v>29</v>
      </c>
      <c r="W2">
        <v>55</v>
      </c>
      <c r="X2">
        <v>138</v>
      </c>
      <c r="Y2">
        <v>5526</v>
      </c>
      <c r="AA2" s="3"/>
      <c r="AB2" s="3"/>
      <c r="AC2" s="3">
        <f>U2/U3</f>
        <v>0.90900548484610888</v>
      </c>
      <c r="AD2" s="3">
        <f>I2-I3</f>
        <v>-17</v>
      </c>
      <c r="AE2" s="4" t="s">
        <v>104</v>
      </c>
      <c r="AF2" s="4" t="s">
        <v>105</v>
      </c>
      <c r="AG2" s="4" t="s">
        <v>104</v>
      </c>
      <c r="AH2" s="4" t="s">
        <v>105</v>
      </c>
      <c r="AI2" s="4" t="s">
        <v>104</v>
      </c>
      <c r="AJ2" s="4" t="s">
        <v>105</v>
      </c>
    </row>
    <row r="3" spans="1:36" x14ac:dyDescent="0.25">
      <c r="A3">
        <v>1.28354359999999E-2</v>
      </c>
      <c r="B3">
        <v>2.25341914722445</v>
      </c>
      <c r="C3">
        <v>20.931034088134702</v>
      </c>
      <c r="D3">
        <v>5915</v>
      </c>
      <c r="E3">
        <v>33</v>
      </c>
      <c r="F3">
        <v>5526</v>
      </c>
      <c r="G3" t="s">
        <v>25</v>
      </c>
      <c r="H3">
        <v>0</v>
      </c>
      <c r="I3">
        <v>248</v>
      </c>
      <c r="J3">
        <v>5526</v>
      </c>
      <c r="K3">
        <v>11</v>
      </c>
      <c r="L3" t="s">
        <v>26</v>
      </c>
      <c r="M3">
        <v>1306</v>
      </c>
      <c r="N3">
        <v>2801</v>
      </c>
      <c r="O3">
        <v>1306</v>
      </c>
      <c r="P3">
        <v>36</v>
      </c>
      <c r="Q3">
        <v>1</v>
      </c>
      <c r="R3">
        <v>22.511657</v>
      </c>
      <c r="S3" t="s">
        <v>28</v>
      </c>
      <c r="T3">
        <v>9.5346739999999999E-3</v>
      </c>
      <c r="U3">
        <v>2.2369633999999999E-2</v>
      </c>
      <c r="V3">
        <v>29</v>
      </c>
      <c r="W3">
        <v>54</v>
      </c>
      <c r="X3">
        <v>156</v>
      </c>
      <c r="Y3">
        <v>5526</v>
      </c>
      <c r="AE3" s="5">
        <f>AVERAGEIFS($R$2:$R$49,$S$2:$S$49,"MaxSatDddLadderRC2")</f>
        <v>11000.486715416666</v>
      </c>
      <c r="AF3" s="5">
        <f>AVERAGEIFS($R$2:$R$49,$S$2:$S$49,"MaxSatDddLadderScl")</f>
        <v>12352.000846083334</v>
      </c>
      <c r="AG3" s="5">
        <f>AVERAGEIFS($R$50:$R$97,$S$50:$S$97,"MaxSatDddLadderRC2")</f>
        <v>23370.459265458339</v>
      </c>
      <c r="AH3" s="5">
        <f>AVERAGEIF(S50:S97, "MaxSatDddLadderSCL",R50:R97 )</f>
        <v>21874.704337125</v>
      </c>
      <c r="AI3" s="5">
        <f>AVERAGEIF(S98:S145, "MaxSatDddLadderRC2",R98:R145 )</f>
        <v>43653.383305083327</v>
      </c>
      <c r="AJ3" s="5">
        <f>AVERAGEIF(S98:S145, "MaxSatDddLadderSCL",R98:R145 )</f>
        <v>46194.802808958331</v>
      </c>
    </row>
    <row r="4" spans="1:36" x14ac:dyDescent="0.25">
      <c r="A4">
        <v>7.8415399999999993E-3</v>
      </c>
      <c r="B4">
        <v>2.2810256410256402</v>
      </c>
      <c r="C4">
        <v>19</v>
      </c>
      <c r="D4">
        <v>3735</v>
      </c>
      <c r="E4">
        <v>33</v>
      </c>
      <c r="F4">
        <v>5804</v>
      </c>
      <c r="G4" t="s">
        <v>25</v>
      </c>
      <c r="H4">
        <v>1</v>
      </c>
      <c r="I4">
        <v>190</v>
      </c>
      <c r="J4">
        <v>5804</v>
      </c>
      <c r="K4">
        <v>17</v>
      </c>
      <c r="L4" t="s">
        <v>29</v>
      </c>
      <c r="M4">
        <v>1112</v>
      </c>
      <c r="N4">
        <v>2224</v>
      </c>
      <c r="O4">
        <v>1112</v>
      </c>
      <c r="P4">
        <v>71</v>
      </c>
      <c r="Q4">
        <v>1</v>
      </c>
      <c r="R4">
        <v>23.007169000000001</v>
      </c>
      <c r="S4" t="s">
        <v>27</v>
      </c>
      <c r="T4">
        <v>1.5034857E-2</v>
      </c>
      <c r="U4">
        <v>2.2875915E-2</v>
      </c>
      <c r="V4">
        <v>25</v>
      </c>
      <c r="W4">
        <v>52</v>
      </c>
      <c r="X4">
        <v>65</v>
      </c>
      <c r="Y4">
        <v>5804</v>
      </c>
      <c r="AC4">
        <f>U4/U5</f>
        <v>0.4105359058646787</v>
      </c>
      <c r="AD4">
        <f>I4-I5</f>
        <v>-33</v>
      </c>
    </row>
    <row r="5" spans="1:36" x14ac:dyDescent="0.25">
      <c r="A5">
        <v>9.09891899999999E-3</v>
      </c>
      <c r="B5">
        <v>2.41230769230769</v>
      </c>
      <c r="C5">
        <v>19</v>
      </c>
      <c r="D5">
        <v>3735</v>
      </c>
      <c r="E5">
        <v>33</v>
      </c>
      <c r="F5">
        <v>5804</v>
      </c>
      <c r="G5" t="s">
        <v>25</v>
      </c>
      <c r="H5">
        <v>1</v>
      </c>
      <c r="I5">
        <v>223</v>
      </c>
      <c r="J5">
        <v>5804</v>
      </c>
      <c r="K5">
        <v>17</v>
      </c>
      <c r="L5" t="s">
        <v>29</v>
      </c>
      <c r="M5">
        <v>1063</v>
      </c>
      <c r="N5">
        <v>2352</v>
      </c>
      <c r="O5">
        <v>1063</v>
      </c>
      <c r="P5">
        <v>107</v>
      </c>
      <c r="Q5">
        <v>1</v>
      </c>
      <c r="R5">
        <v>55.943720999999996</v>
      </c>
      <c r="S5" t="s">
        <v>28</v>
      </c>
      <c r="T5">
        <v>4.6623693000000001E-2</v>
      </c>
      <c r="U5">
        <v>5.5722081E-2</v>
      </c>
      <c r="V5">
        <v>25</v>
      </c>
      <c r="W5">
        <v>58</v>
      </c>
      <c r="X5">
        <v>56</v>
      </c>
      <c r="Y5">
        <v>5804</v>
      </c>
    </row>
    <row r="6" spans="1:36" x14ac:dyDescent="0.25">
      <c r="A6">
        <v>5.7906429999999998E-3</v>
      </c>
      <c r="B6">
        <v>1.7691256830601001</v>
      </c>
      <c r="C6">
        <v>22.375</v>
      </c>
      <c r="D6">
        <v>2061</v>
      </c>
      <c r="E6">
        <v>33</v>
      </c>
      <c r="F6">
        <v>1329</v>
      </c>
      <c r="G6" t="s">
        <v>25</v>
      </c>
      <c r="H6">
        <v>2</v>
      </c>
      <c r="I6">
        <v>136</v>
      </c>
      <c r="J6">
        <v>1329</v>
      </c>
      <c r="K6">
        <v>7</v>
      </c>
      <c r="L6" t="s">
        <v>30</v>
      </c>
      <c r="M6">
        <v>525</v>
      </c>
      <c r="N6">
        <v>1295</v>
      </c>
      <c r="O6">
        <v>525</v>
      </c>
      <c r="P6">
        <v>27</v>
      </c>
      <c r="Q6">
        <v>1</v>
      </c>
      <c r="R6">
        <v>7.5225669999999996</v>
      </c>
      <c r="S6" t="s">
        <v>27</v>
      </c>
      <c r="T6">
        <v>1.674689E-3</v>
      </c>
      <c r="U6">
        <v>7.4647799999999999E-3</v>
      </c>
      <c r="V6">
        <v>16</v>
      </c>
      <c r="W6">
        <v>15</v>
      </c>
      <c r="X6">
        <v>92</v>
      </c>
      <c r="Y6">
        <v>1329</v>
      </c>
      <c r="AC6">
        <f>U6/U7</f>
        <v>1.6523846838351506</v>
      </c>
      <c r="AD6">
        <f t="shared" ref="AD6" si="0">I6-I7</f>
        <v>6</v>
      </c>
    </row>
    <row r="7" spans="1:36" x14ac:dyDescent="0.25">
      <c r="A7">
        <v>3.5468280000000001E-3</v>
      </c>
      <c r="B7">
        <v>1.79508196721311</v>
      </c>
      <c r="C7">
        <v>22.375</v>
      </c>
      <c r="D7">
        <v>2061</v>
      </c>
      <c r="E7">
        <v>33</v>
      </c>
      <c r="F7">
        <v>1329</v>
      </c>
      <c r="G7" t="s">
        <v>25</v>
      </c>
      <c r="H7">
        <v>2</v>
      </c>
      <c r="I7">
        <v>130</v>
      </c>
      <c r="J7">
        <v>1329</v>
      </c>
      <c r="K7">
        <v>6</v>
      </c>
      <c r="L7" t="s">
        <v>30</v>
      </c>
      <c r="M7">
        <v>496</v>
      </c>
      <c r="N7">
        <v>1314</v>
      </c>
      <c r="O7">
        <v>496</v>
      </c>
      <c r="P7">
        <v>27</v>
      </c>
      <c r="Q7">
        <v>1</v>
      </c>
      <c r="R7">
        <v>4.5908509999999998</v>
      </c>
      <c r="S7" t="s">
        <v>28</v>
      </c>
      <c r="T7">
        <v>9.7126899999999997E-4</v>
      </c>
      <c r="U7">
        <v>4.5175800000000002E-3</v>
      </c>
      <c r="V7">
        <v>16</v>
      </c>
      <c r="W7">
        <v>15</v>
      </c>
      <c r="X7">
        <v>86</v>
      </c>
      <c r="Y7">
        <v>1329</v>
      </c>
    </row>
    <row r="8" spans="1:36" x14ac:dyDescent="0.25">
      <c r="A8">
        <v>2.9121590000000001E-3</v>
      </c>
      <c r="B8">
        <v>1.97282608695652</v>
      </c>
      <c r="C8">
        <v>19.214284896850501</v>
      </c>
      <c r="D8">
        <v>1175</v>
      </c>
      <c r="E8">
        <v>33</v>
      </c>
      <c r="F8">
        <v>2706</v>
      </c>
      <c r="G8" t="s">
        <v>25</v>
      </c>
      <c r="H8">
        <v>3</v>
      </c>
      <c r="I8">
        <v>106</v>
      </c>
      <c r="J8">
        <v>2706</v>
      </c>
      <c r="K8">
        <v>8</v>
      </c>
      <c r="L8" t="s">
        <v>31</v>
      </c>
      <c r="M8">
        <v>499</v>
      </c>
      <c r="N8">
        <v>1089</v>
      </c>
      <c r="O8">
        <v>499</v>
      </c>
      <c r="P8">
        <v>25</v>
      </c>
      <c r="Q8">
        <v>1</v>
      </c>
      <c r="R8">
        <v>3.7391459999999999</v>
      </c>
      <c r="S8" t="s">
        <v>27</v>
      </c>
      <c r="T8">
        <v>7.7132399999999999E-4</v>
      </c>
      <c r="U8">
        <v>3.6829440000000001E-3</v>
      </c>
      <c r="V8">
        <v>14</v>
      </c>
      <c r="W8">
        <v>15</v>
      </c>
      <c r="X8">
        <v>64</v>
      </c>
      <c r="Y8">
        <v>2706</v>
      </c>
      <c r="AC8">
        <f>U8/U9</f>
        <v>1.0332047254896295</v>
      </c>
      <c r="AD8">
        <f t="shared" ref="AD8" si="1">I8-I9</f>
        <v>7</v>
      </c>
    </row>
    <row r="9" spans="1:36" x14ac:dyDescent="0.25">
      <c r="A9">
        <v>2.8148129999999898E-3</v>
      </c>
      <c r="B9">
        <v>2.0199275362318798</v>
      </c>
      <c r="C9">
        <v>19.214284896850501</v>
      </c>
      <c r="D9">
        <v>1175</v>
      </c>
      <c r="E9">
        <v>33</v>
      </c>
      <c r="F9">
        <v>2706</v>
      </c>
      <c r="G9" t="s">
        <v>25</v>
      </c>
      <c r="H9">
        <v>3</v>
      </c>
      <c r="I9">
        <v>99</v>
      </c>
      <c r="J9">
        <v>2706</v>
      </c>
      <c r="K9">
        <v>8</v>
      </c>
      <c r="L9" t="s">
        <v>31</v>
      </c>
      <c r="M9">
        <v>479</v>
      </c>
      <c r="N9">
        <v>1115</v>
      </c>
      <c r="O9">
        <v>479</v>
      </c>
      <c r="P9">
        <v>25</v>
      </c>
      <c r="Q9">
        <v>1</v>
      </c>
      <c r="R9">
        <v>3.6055869999999999</v>
      </c>
      <c r="S9" t="s">
        <v>28</v>
      </c>
      <c r="T9">
        <v>7.5014600000000004E-4</v>
      </c>
      <c r="U9">
        <v>3.5645830000000001E-3</v>
      </c>
      <c r="V9">
        <v>14</v>
      </c>
      <c r="W9">
        <v>14</v>
      </c>
      <c r="X9">
        <v>58</v>
      </c>
      <c r="Y9">
        <v>2706</v>
      </c>
    </row>
    <row r="10" spans="1:36" x14ac:dyDescent="0.25">
      <c r="A10">
        <v>2.9564249999999999E-3</v>
      </c>
      <c r="B10">
        <v>1.96835443037974</v>
      </c>
      <c r="C10">
        <v>19.25</v>
      </c>
      <c r="D10">
        <v>876</v>
      </c>
      <c r="E10">
        <v>33</v>
      </c>
      <c r="F10">
        <v>2634</v>
      </c>
      <c r="G10" t="s">
        <v>25</v>
      </c>
      <c r="H10">
        <v>4</v>
      </c>
      <c r="I10">
        <v>104</v>
      </c>
      <c r="J10">
        <v>2634</v>
      </c>
      <c r="K10">
        <v>8</v>
      </c>
      <c r="L10" t="s">
        <v>32</v>
      </c>
      <c r="M10">
        <v>431</v>
      </c>
      <c r="N10">
        <v>933</v>
      </c>
      <c r="O10">
        <v>431</v>
      </c>
      <c r="P10">
        <v>15</v>
      </c>
      <c r="Q10">
        <v>1</v>
      </c>
      <c r="R10">
        <v>3.5808930000000001</v>
      </c>
      <c r="S10" t="s">
        <v>27</v>
      </c>
      <c r="T10">
        <v>5.9702599999999996E-4</v>
      </c>
      <c r="U10">
        <v>3.552964E-3</v>
      </c>
      <c r="V10">
        <v>12</v>
      </c>
      <c r="W10">
        <v>11</v>
      </c>
      <c r="X10">
        <v>76</v>
      </c>
      <c r="Y10">
        <v>2634</v>
      </c>
      <c r="AC10">
        <f>U10/U11</f>
        <v>1.2612164383639446</v>
      </c>
      <c r="AD10">
        <f t="shared" ref="AD10" si="2">I10-I11</f>
        <v>18</v>
      </c>
    </row>
    <row r="11" spans="1:36" x14ac:dyDescent="0.25">
      <c r="A11">
        <v>2.363839E-3</v>
      </c>
      <c r="B11">
        <v>1.96202531645569</v>
      </c>
      <c r="C11">
        <v>19.25</v>
      </c>
      <c r="D11">
        <v>876</v>
      </c>
      <c r="E11">
        <v>33</v>
      </c>
      <c r="F11">
        <v>2634</v>
      </c>
      <c r="G11" t="s">
        <v>25</v>
      </c>
      <c r="H11">
        <v>4</v>
      </c>
      <c r="I11">
        <v>86</v>
      </c>
      <c r="J11">
        <v>2634</v>
      </c>
      <c r="K11">
        <v>7</v>
      </c>
      <c r="L11" t="s">
        <v>32</v>
      </c>
      <c r="M11">
        <v>390</v>
      </c>
      <c r="N11">
        <v>930</v>
      </c>
      <c r="O11">
        <v>390</v>
      </c>
      <c r="P11">
        <v>16</v>
      </c>
      <c r="Q11">
        <v>1</v>
      </c>
      <c r="R11">
        <v>2.851518</v>
      </c>
      <c r="S11" t="s">
        <v>28</v>
      </c>
      <c r="T11">
        <v>4.5371400000000003E-4</v>
      </c>
      <c r="U11">
        <v>2.8170930000000001E-3</v>
      </c>
      <c r="V11">
        <v>12</v>
      </c>
      <c r="W11">
        <v>11</v>
      </c>
      <c r="X11">
        <v>57</v>
      </c>
      <c r="Y11">
        <v>2634</v>
      </c>
    </row>
    <row r="12" spans="1:36" x14ac:dyDescent="0.25">
      <c r="A12">
        <v>1.735625E-3</v>
      </c>
      <c r="B12">
        <v>1.73856209150326</v>
      </c>
      <c r="C12">
        <v>18.625</v>
      </c>
      <c r="D12">
        <v>307</v>
      </c>
      <c r="E12">
        <v>33</v>
      </c>
      <c r="F12">
        <v>2043</v>
      </c>
      <c r="G12" t="s">
        <v>25</v>
      </c>
      <c r="H12">
        <v>5</v>
      </c>
      <c r="I12">
        <v>93</v>
      </c>
      <c r="J12">
        <v>2043</v>
      </c>
      <c r="K12">
        <v>4</v>
      </c>
      <c r="L12" t="s">
        <v>33</v>
      </c>
      <c r="M12">
        <v>218</v>
      </c>
      <c r="N12">
        <v>532</v>
      </c>
      <c r="O12">
        <v>218</v>
      </c>
      <c r="P12">
        <v>10</v>
      </c>
      <c r="Q12">
        <v>1</v>
      </c>
      <c r="R12">
        <v>2.0300539999999998</v>
      </c>
      <c r="S12" t="s">
        <v>27</v>
      </c>
      <c r="T12">
        <v>2.7144700000000002E-4</v>
      </c>
      <c r="U12">
        <v>2.0066939999999998E-3</v>
      </c>
      <c r="V12">
        <v>8</v>
      </c>
      <c r="W12">
        <v>2</v>
      </c>
      <c r="X12">
        <v>79</v>
      </c>
      <c r="Y12">
        <v>2043</v>
      </c>
      <c r="AC12">
        <f>U12/U13</f>
        <v>1.0651417300390822</v>
      </c>
      <c r="AD12">
        <f t="shared" ref="AD12" si="3">I12-I13</f>
        <v>6</v>
      </c>
    </row>
    <row r="13" spans="1:36" x14ac:dyDescent="0.25">
      <c r="A13">
        <v>1.6367840000000001E-3</v>
      </c>
      <c r="B13">
        <v>1.7549019607843099</v>
      </c>
      <c r="C13">
        <v>18.625</v>
      </c>
      <c r="D13">
        <v>307</v>
      </c>
      <c r="E13">
        <v>33</v>
      </c>
      <c r="F13">
        <v>2043</v>
      </c>
      <c r="G13" t="s">
        <v>25</v>
      </c>
      <c r="H13">
        <v>5</v>
      </c>
      <c r="I13">
        <v>87</v>
      </c>
      <c r="J13">
        <v>2043</v>
      </c>
      <c r="K13">
        <v>5</v>
      </c>
      <c r="L13" t="s">
        <v>33</v>
      </c>
      <c r="M13">
        <v>207</v>
      </c>
      <c r="N13">
        <v>537</v>
      </c>
      <c r="O13">
        <v>207</v>
      </c>
      <c r="P13">
        <v>10</v>
      </c>
      <c r="Q13">
        <v>1</v>
      </c>
      <c r="R13">
        <v>1.9235139999999999</v>
      </c>
      <c r="S13" t="s">
        <v>28</v>
      </c>
      <c r="T13">
        <v>2.4755699999999997E-4</v>
      </c>
      <c r="U13">
        <v>1.8839690000000001E-3</v>
      </c>
      <c r="V13">
        <v>8</v>
      </c>
      <c r="W13">
        <v>3</v>
      </c>
      <c r="X13">
        <v>72</v>
      </c>
      <c r="Y13">
        <v>2043</v>
      </c>
    </row>
    <row r="14" spans="1:36" x14ac:dyDescent="0.25">
      <c r="A14">
        <v>1.90440099999999E-3</v>
      </c>
      <c r="B14">
        <v>2.66190476190476</v>
      </c>
      <c r="C14">
        <v>12.625</v>
      </c>
      <c r="D14">
        <v>126</v>
      </c>
      <c r="E14">
        <v>33</v>
      </c>
      <c r="F14">
        <v>1918</v>
      </c>
      <c r="G14" t="s">
        <v>25</v>
      </c>
      <c r="H14">
        <v>6</v>
      </c>
      <c r="I14">
        <v>84</v>
      </c>
      <c r="J14">
        <v>1918</v>
      </c>
      <c r="K14">
        <v>9</v>
      </c>
      <c r="L14" t="s">
        <v>34</v>
      </c>
      <c r="M14">
        <v>331</v>
      </c>
      <c r="N14">
        <v>559</v>
      </c>
      <c r="O14">
        <v>331</v>
      </c>
      <c r="P14">
        <v>12</v>
      </c>
      <c r="Q14">
        <v>1</v>
      </c>
      <c r="R14">
        <v>2.3141180000000001</v>
      </c>
      <c r="S14" t="s">
        <v>27</v>
      </c>
      <c r="T14">
        <v>3.93209E-4</v>
      </c>
      <c r="U14">
        <v>2.2971649999999999E-3</v>
      </c>
      <c r="V14">
        <v>8</v>
      </c>
      <c r="W14">
        <v>7</v>
      </c>
      <c r="X14">
        <v>63</v>
      </c>
      <c r="Y14">
        <v>1918</v>
      </c>
      <c r="AC14">
        <f>U14/U15</f>
        <v>0.95399990863521777</v>
      </c>
      <c r="AD14">
        <f t="shared" ref="AD14" si="4">I14-I15</f>
        <v>-11</v>
      </c>
    </row>
    <row r="15" spans="1:36" x14ac:dyDescent="0.25">
      <c r="A15">
        <v>1.9072399999999999E-3</v>
      </c>
      <c r="B15">
        <v>3.0190476190476101</v>
      </c>
      <c r="C15">
        <v>12.625</v>
      </c>
      <c r="D15">
        <v>126</v>
      </c>
      <c r="E15">
        <v>33</v>
      </c>
      <c r="F15">
        <v>1918</v>
      </c>
      <c r="G15" t="s">
        <v>25</v>
      </c>
      <c r="H15">
        <v>6</v>
      </c>
      <c r="I15">
        <v>95</v>
      </c>
      <c r="J15">
        <v>1918</v>
      </c>
      <c r="K15">
        <v>9</v>
      </c>
      <c r="L15" t="s">
        <v>34</v>
      </c>
      <c r="M15">
        <v>363</v>
      </c>
      <c r="N15">
        <v>634</v>
      </c>
      <c r="O15">
        <v>363</v>
      </c>
      <c r="P15">
        <v>12</v>
      </c>
      <c r="Q15">
        <v>1</v>
      </c>
      <c r="R15">
        <v>2.4518439999999999</v>
      </c>
      <c r="S15" t="s">
        <v>28</v>
      </c>
      <c r="T15">
        <v>5.0112500000000005E-4</v>
      </c>
      <c r="U15">
        <v>2.40793E-3</v>
      </c>
      <c r="V15">
        <v>8</v>
      </c>
      <c r="W15">
        <v>11</v>
      </c>
      <c r="X15">
        <v>70</v>
      </c>
      <c r="Y15">
        <v>1918</v>
      </c>
    </row>
    <row r="16" spans="1:36" x14ac:dyDescent="0.25">
      <c r="A16">
        <v>8.7686399999995501E-2</v>
      </c>
      <c r="B16">
        <v>5.26268115942029</v>
      </c>
      <c r="C16">
        <v>19.214284896850501</v>
      </c>
      <c r="D16">
        <v>4877</v>
      </c>
      <c r="E16">
        <v>33</v>
      </c>
      <c r="G16" t="s">
        <v>25</v>
      </c>
      <c r="H16">
        <v>7</v>
      </c>
      <c r="I16">
        <v>880</v>
      </c>
      <c r="J16">
        <v>22584</v>
      </c>
      <c r="K16">
        <v>40</v>
      </c>
      <c r="L16" t="s">
        <v>35</v>
      </c>
      <c r="M16">
        <v>4132</v>
      </c>
      <c r="N16">
        <v>5810</v>
      </c>
      <c r="O16">
        <v>4132</v>
      </c>
      <c r="P16">
        <v>749</v>
      </c>
      <c r="Q16">
        <v>1</v>
      </c>
      <c r="R16">
        <v>120000</v>
      </c>
      <c r="S16" t="s">
        <v>27</v>
      </c>
      <c r="T16">
        <v>121.14185738400001</v>
      </c>
      <c r="U16">
        <v>121.22954312900001</v>
      </c>
      <c r="V16">
        <v>28</v>
      </c>
      <c r="W16">
        <v>126</v>
      </c>
      <c r="X16">
        <v>4</v>
      </c>
      <c r="Y16">
        <v>2147483647</v>
      </c>
      <c r="AC16">
        <f>U16/U17</f>
        <v>1.0089098570640076</v>
      </c>
      <c r="AD16">
        <f t="shared" ref="AD16" si="5">I16-I17</f>
        <v>49</v>
      </c>
    </row>
    <row r="17" spans="1:30" x14ac:dyDescent="0.25">
      <c r="A17">
        <v>8.0946320999998905E-2</v>
      </c>
      <c r="B17">
        <v>5.9601449275362297</v>
      </c>
      <c r="C17">
        <v>19.214284896850501</v>
      </c>
      <c r="D17">
        <v>4877</v>
      </c>
      <c r="E17">
        <v>33</v>
      </c>
      <c r="G17" t="s">
        <v>25</v>
      </c>
      <c r="H17">
        <v>7</v>
      </c>
      <c r="I17">
        <v>831</v>
      </c>
      <c r="J17">
        <v>22600</v>
      </c>
      <c r="K17">
        <v>39</v>
      </c>
      <c r="L17" t="s">
        <v>35</v>
      </c>
      <c r="M17">
        <v>3905</v>
      </c>
      <c r="N17">
        <v>6580</v>
      </c>
      <c r="O17">
        <v>3905</v>
      </c>
      <c r="P17">
        <v>723</v>
      </c>
      <c r="Q17">
        <v>1</v>
      </c>
      <c r="R17">
        <v>120000</v>
      </c>
      <c r="S17" t="s">
        <v>28</v>
      </c>
      <c r="T17">
        <v>120.077998509</v>
      </c>
      <c r="U17">
        <v>120.158944112</v>
      </c>
      <c r="V17">
        <v>28</v>
      </c>
      <c r="W17">
        <v>106</v>
      </c>
      <c r="X17">
        <v>1</v>
      </c>
      <c r="Y17">
        <v>2147483647</v>
      </c>
    </row>
    <row r="18" spans="1:30" x14ac:dyDescent="0.25">
      <c r="A18">
        <v>1.0292978E-2</v>
      </c>
      <c r="B18">
        <v>3.0340632603406301</v>
      </c>
      <c r="C18">
        <v>20.049999237060501</v>
      </c>
      <c r="D18">
        <v>2616</v>
      </c>
      <c r="E18">
        <v>33</v>
      </c>
      <c r="F18">
        <v>6178</v>
      </c>
      <c r="G18" t="s">
        <v>25</v>
      </c>
      <c r="H18">
        <v>8</v>
      </c>
      <c r="I18">
        <v>247</v>
      </c>
      <c r="J18">
        <v>6178</v>
      </c>
      <c r="K18">
        <v>11</v>
      </c>
      <c r="L18" t="s">
        <v>36</v>
      </c>
      <c r="M18">
        <v>1509</v>
      </c>
      <c r="N18">
        <v>2494</v>
      </c>
      <c r="O18">
        <v>1509</v>
      </c>
      <c r="P18">
        <v>67</v>
      </c>
      <c r="Q18">
        <v>1</v>
      </c>
      <c r="R18">
        <v>26.414828</v>
      </c>
      <c r="S18" t="s">
        <v>27</v>
      </c>
      <c r="T18">
        <v>1.6002435999999998E-2</v>
      </c>
      <c r="U18">
        <v>2.6294807E-2</v>
      </c>
      <c r="V18">
        <v>20</v>
      </c>
      <c r="W18">
        <v>66</v>
      </c>
      <c r="X18">
        <v>112</v>
      </c>
      <c r="Y18">
        <v>6178</v>
      </c>
      <c r="AC18">
        <f>U18/U19</f>
        <v>0.91345204973787253</v>
      </c>
      <c r="AD18">
        <f t="shared" ref="AD18" si="6">I18-I19</f>
        <v>13</v>
      </c>
    </row>
    <row r="19" spans="1:30" x14ac:dyDescent="0.25">
      <c r="A19">
        <v>9.8009740000000005E-3</v>
      </c>
      <c r="B19">
        <v>3.03771289537712</v>
      </c>
      <c r="C19">
        <v>20.049999237060501</v>
      </c>
      <c r="D19">
        <v>2616</v>
      </c>
      <c r="E19">
        <v>33</v>
      </c>
      <c r="F19">
        <v>6178</v>
      </c>
      <c r="G19" t="s">
        <v>25</v>
      </c>
      <c r="H19">
        <v>8</v>
      </c>
      <c r="I19">
        <v>234</v>
      </c>
      <c r="J19">
        <v>6178</v>
      </c>
      <c r="K19">
        <v>12</v>
      </c>
      <c r="L19" t="s">
        <v>36</v>
      </c>
      <c r="M19">
        <v>1362</v>
      </c>
      <c r="N19">
        <v>2497</v>
      </c>
      <c r="O19">
        <v>1362</v>
      </c>
      <c r="P19">
        <v>79</v>
      </c>
      <c r="Q19">
        <v>1</v>
      </c>
      <c r="R19">
        <v>28.941381</v>
      </c>
      <c r="S19" t="s">
        <v>28</v>
      </c>
      <c r="T19">
        <v>1.8985812000000001E-2</v>
      </c>
      <c r="U19">
        <v>2.8786193000000002E-2</v>
      </c>
      <c r="V19">
        <v>20</v>
      </c>
      <c r="W19">
        <v>58</v>
      </c>
      <c r="X19">
        <v>95</v>
      </c>
      <c r="Y19">
        <v>6178</v>
      </c>
    </row>
    <row r="20" spans="1:30" x14ac:dyDescent="0.25">
      <c r="A20">
        <v>7.632326E-3</v>
      </c>
      <c r="B20">
        <v>3.3968503937007801</v>
      </c>
      <c r="C20">
        <v>18.176469802856399</v>
      </c>
      <c r="D20">
        <v>1632</v>
      </c>
      <c r="E20">
        <v>33</v>
      </c>
      <c r="F20">
        <v>4746</v>
      </c>
      <c r="G20" t="s">
        <v>25</v>
      </c>
      <c r="H20">
        <v>9</v>
      </c>
      <c r="I20">
        <v>198</v>
      </c>
      <c r="J20">
        <v>4746</v>
      </c>
      <c r="K20">
        <v>15</v>
      </c>
      <c r="L20" t="s">
        <v>37</v>
      </c>
      <c r="M20">
        <v>1400</v>
      </c>
      <c r="N20">
        <v>2157</v>
      </c>
      <c r="O20">
        <v>1400</v>
      </c>
      <c r="P20">
        <v>49</v>
      </c>
      <c r="Q20">
        <v>1</v>
      </c>
      <c r="R20">
        <v>19.401434999999999</v>
      </c>
      <c r="S20" t="s">
        <v>27</v>
      </c>
      <c r="T20">
        <v>1.1678391E-2</v>
      </c>
      <c r="U20">
        <v>1.9310191000000001E-2</v>
      </c>
      <c r="V20">
        <v>17</v>
      </c>
      <c r="W20">
        <v>48</v>
      </c>
      <c r="X20">
        <v>99</v>
      </c>
      <c r="Y20">
        <v>4746</v>
      </c>
      <c r="AC20">
        <f>U20/U21</f>
        <v>0.82816671349986748</v>
      </c>
      <c r="AD20">
        <f t="shared" ref="AD20" si="7">I20-I21</f>
        <v>-8</v>
      </c>
    </row>
    <row r="21" spans="1:30" x14ac:dyDescent="0.25">
      <c r="A21">
        <v>9.0282880000000006E-3</v>
      </c>
      <c r="B21">
        <v>3.2283464566929099</v>
      </c>
      <c r="C21">
        <v>18.176469802856399</v>
      </c>
      <c r="D21">
        <v>1632</v>
      </c>
      <c r="E21">
        <v>33</v>
      </c>
      <c r="F21">
        <v>4746</v>
      </c>
      <c r="G21" t="s">
        <v>25</v>
      </c>
      <c r="H21">
        <v>9</v>
      </c>
      <c r="I21">
        <v>206</v>
      </c>
      <c r="J21">
        <v>4746</v>
      </c>
      <c r="K21">
        <v>12</v>
      </c>
      <c r="L21" t="s">
        <v>37</v>
      </c>
      <c r="M21">
        <v>1159</v>
      </c>
      <c r="N21">
        <v>2050</v>
      </c>
      <c r="O21">
        <v>1159</v>
      </c>
      <c r="P21">
        <v>44</v>
      </c>
      <c r="Q21">
        <v>1</v>
      </c>
      <c r="R21">
        <v>23.437813999999999</v>
      </c>
      <c r="S21" t="s">
        <v>28</v>
      </c>
      <c r="T21">
        <v>1.4289042E-2</v>
      </c>
      <c r="U21">
        <v>2.3316791999999999E-2</v>
      </c>
      <c r="V21">
        <v>17</v>
      </c>
      <c r="W21">
        <v>43</v>
      </c>
      <c r="X21">
        <v>117</v>
      </c>
      <c r="Y21">
        <v>4746</v>
      </c>
    </row>
    <row r="22" spans="1:30" x14ac:dyDescent="0.25">
      <c r="A22">
        <v>1.7144052999999999E-2</v>
      </c>
      <c r="B22">
        <v>3.6057377049180301</v>
      </c>
      <c r="C22">
        <v>19.8333339691162</v>
      </c>
      <c r="D22">
        <v>6162</v>
      </c>
      <c r="E22">
        <v>33</v>
      </c>
      <c r="F22">
        <v>3331</v>
      </c>
      <c r="G22" t="s">
        <v>25</v>
      </c>
      <c r="H22">
        <v>10</v>
      </c>
      <c r="I22">
        <v>230</v>
      </c>
      <c r="J22">
        <v>3331</v>
      </c>
      <c r="K22">
        <v>13</v>
      </c>
      <c r="L22" t="s">
        <v>38</v>
      </c>
      <c r="M22">
        <v>2834</v>
      </c>
      <c r="N22">
        <v>4399</v>
      </c>
      <c r="O22">
        <v>2834</v>
      </c>
      <c r="P22">
        <v>97</v>
      </c>
      <c r="Q22">
        <v>1</v>
      </c>
      <c r="R22">
        <v>95.724172999999993</v>
      </c>
      <c r="S22" t="s">
        <v>27</v>
      </c>
      <c r="T22">
        <v>7.8272571999999999E-2</v>
      </c>
      <c r="U22">
        <v>9.5416156000000002E-2</v>
      </c>
      <c r="V22">
        <v>30</v>
      </c>
      <c r="W22">
        <v>101</v>
      </c>
      <c r="X22">
        <v>30</v>
      </c>
      <c r="Y22">
        <v>3331</v>
      </c>
      <c r="AC22">
        <f>U22/U23</f>
        <v>0.14860121246747993</v>
      </c>
      <c r="AD22">
        <f t="shared" ref="AD22" si="8">I22-I23</f>
        <v>-81</v>
      </c>
    </row>
    <row r="23" spans="1:30" x14ac:dyDescent="0.25">
      <c r="A23">
        <v>2.3418370000000001E-2</v>
      </c>
      <c r="B23">
        <v>3.9688524590163898</v>
      </c>
      <c r="C23">
        <v>19.8333339691162</v>
      </c>
      <c r="D23">
        <v>6162</v>
      </c>
      <c r="E23">
        <v>33</v>
      </c>
      <c r="F23">
        <v>3331</v>
      </c>
      <c r="G23" t="s">
        <v>25</v>
      </c>
      <c r="H23">
        <v>10</v>
      </c>
      <c r="I23">
        <v>311</v>
      </c>
      <c r="J23">
        <v>3331</v>
      </c>
      <c r="K23">
        <v>15</v>
      </c>
      <c r="L23" t="s">
        <v>38</v>
      </c>
      <c r="M23">
        <v>2832</v>
      </c>
      <c r="N23">
        <v>4842</v>
      </c>
      <c r="O23">
        <v>2832</v>
      </c>
      <c r="P23">
        <v>183</v>
      </c>
      <c r="Q23">
        <v>1</v>
      </c>
      <c r="R23">
        <v>643.01907600000004</v>
      </c>
      <c r="S23" t="s">
        <v>28</v>
      </c>
      <c r="T23">
        <v>0.61867773500000001</v>
      </c>
      <c r="U23">
        <v>0.64209540700000001</v>
      </c>
      <c r="V23">
        <v>30</v>
      </c>
      <c r="W23">
        <v>91</v>
      </c>
      <c r="X23">
        <v>35</v>
      </c>
      <c r="Y23">
        <v>3331</v>
      </c>
    </row>
    <row r="24" spans="1:30" x14ac:dyDescent="0.25">
      <c r="A24">
        <v>6.4620031000000397E-2</v>
      </c>
      <c r="B24">
        <v>3.77491961414791</v>
      </c>
      <c r="C24">
        <v>21.714284896850501</v>
      </c>
      <c r="D24">
        <v>6393</v>
      </c>
      <c r="E24">
        <v>33</v>
      </c>
      <c r="F24">
        <v>4247</v>
      </c>
      <c r="G24" t="s">
        <v>25</v>
      </c>
      <c r="H24">
        <v>11</v>
      </c>
      <c r="I24">
        <v>617</v>
      </c>
      <c r="J24">
        <v>4247</v>
      </c>
      <c r="K24">
        <v>13</v>
      </c>
      <c r="L24" t="s">
        <v>39</v>
      </c>
      <c r="M24">
        <v>3115</v>
      </c>
      <c r="N24">
        <v>4696</v>
      </c>
      <c r="O24">
        <v>3115</v>
      </c>
      <c r="P24">
        <v>436</v>
      </c>
      <c r="Q24">
        <v>1</v>
      </c>
      <c r="R24">
        <v>19969.662356000001</v>
      </c>
      <c r="S24" t="s">
        <v>27</v>
      </c>
      <c r="T24">
        <v>19.902071298999999</v>
      </c>
      <c r="U24">
        <v>19.966690742000001</v>
      </c>
      <c r="V24">
        <v>28</v>
      </c>
      <c r="W24">
        <v>94</v>
      </c>
      <c r="X24">
        <v>85</v>
      </c>
      <c r="Y24">
        <v>4247</v>
      </c>
      <c r="AC24">
        <f>U24/U25</f>
        <v>0.43579729945883333</v>
      </c>
      <c r="AD24">
        <f t="shared" ref="AD24" si="9">I24-I25</f>
        <v>-8</v>
      </c>
    </row>
    <row r="25" spans="1:30" x14ac:dyDescent="0.25">
      <c r="A25">
        <v>6.8449463000000293E-2</v>
      </c>
      <c r="B25">
        <v>4.14549839228295</v>
      </c>
      <c r="C25">
        <v>21.714284896850501</v>
      </c>
      <c r="D25">
        <v>6393</v>
      </c>
      <c r="E25">
        <v>33</v>
      </c>
      <c r="F25">
        <v>4247</v>
      </c>
      <c r="G25" t="s">
        <v>25</v>
      </c>
      <c r="H25">
        <v>11</v>
      </c>
      <c r="I25">
        <v>625</v>
      </c>
      <c r="J25">
        <v>4247</v>
      </c>
      <c r="K25">
        <v>16</v>
      </c>
      <c r="L25" t="s">
        <v>39</v>
      </c>
      <c r="M25">
        <v>3088</v>
      </c>
      <c r="N25">
        <v>5157</v>
      </c>
      <c r="O25">
        <v>3088</v>
      </c>
      <c r="P25">
        <v>441</v>
      </c>
      <c r="Q25">
        <v>1</v>
      </c>
      <c r="R25">
        <v>46227.213351999999</v>
      </c>
      <c r="S25" t="s">
        <v>28</v>
      </c>
      <c r="T25">
        <v>45.748013636000003</v>
      </c>
      <c r="U25">
        <v>45.816462760999997</v>
      </c>
      <c r="V25">
        <v>28</v>
      </c>
      <c r="W25">
        <v>104</v>
      </c>
      <c r="X25">
        <v>78</v>
      </c>
      <c r="Y25">
        <v>4247</v>
      </c>
    </row>
    <row r="26" spans="1:30" x14ac:dyDescent="0.25">
      <c r="A26">
        <v>2.1049879999999999E-3</v>
      </c>
      <c r="B26">
        <v>1.2523364485981301</v>
      </c>
      <c r="C26">
        <v>17.3333339691162</v>
      </c>
      <c r="D26">
        <v>2022</v>
      </c>
      <c r="E26">
        <v>25</v>
      </c>
      <c r="F26">
        <v>969</v>
      </c>
      <c r="G26" t="s">
        <v>25</v>
      </c>
      <c r="H26">
        <v>12</v>
      </c>
      <c r="I26">
        <v>95</v>
      </c>
      <c r="J26">
        <v>969</v>
      </c>
      <c r="K26">
        <v>4</v>
      </c>
      <c r="L26" t="s">
        <v>40</v>
      </c>
      <c r="M26">
        <v>153</v>
      </c>
      <c r="N26">
        <v>804</v>
      </c>
      <c r="O26">
        <v>153</v>
      </c>
      <c r="P26">
        <v>6</v>
      </c>
      <c r="Q26">
        <v>1</v>
      </c>
      <c r="R26">
        <v>2.3898470000000001</v>
      </c>
      <c r="S26" t="s">
        <v>27</v>
      </c>
      <c r="T26">
        <v>2.41549E-4</v>
      </c>
      <c r="U26">
        <v>2.3460310000000002E-3</v>
      </c>
      <c r="V26">
        <v>18</v>
      </c>
      <c r="W26">
        <v>3</v>
      </c>
      <c r="X26">
        <v>84</v>
      </c>
      <c r="Y26">
        <v>969</v>
      </c>
      <c r="AC26">
        <f>U26/U27</f>
        <v>1.2332842514415725</v>
      </c>
      <c r="AD26">
        <f t="shared" ref="AD26" si="10">I26-I27</f>
        <v>6</v>
      </c>
    </row>
    <row r="27" spans="1:30" x14ac:dyDescent="0.25">
      <c r="A27">
        <v>1.6924419999999999E-3</v>
      </c>
      <c r="B27">
        <v>1.25545171339563</v>
      </c>
      <c r="C27">
        <v>17.3333339691162</v>
      </c>
      <c r="D27">
        <v>2022</v>
      </c>
      <c r="E27">
        <v>25</v>
      </c>
      <c r="F27">
        <v>969</v>
      </c>
      <c r="G27" t="s">
        <v>25</v>
      </c>
      <c r="H27">
        <v>12</v>
      </c>
      <c r="I27">
        <v>89</v>
      </c>
      <c r="J27">
        <v>969</v>
      </c>
      <c r="K27">
        <v>4</v>
      </c>
      <c r="L27" t="s">
        <v>40</v>
      </c>
      <c r="M27">
        <v>144</v>
      </c>
      <c r="N27">
        <v>806</v>
      </c>
      <c r="O27">
        <v>144</v>
      </c>
      <c r="P27">
        <v>6</v>
      </c>
      <c r="Q27">
        <v>1</v>
      </c>
      <c r="R27">
        <v>1.9559120000000001</v>
      </c>
      <c r="S27" t="s">
        <v>28</v>
      </c>
      <c r="T27">
        <v>2.1040499999999999E-4</v>
      </c>
      <c r="U27">
        <v>1.902263E-3</v>
      </c>
      <c r="V27">
        <v>18</v>
      </c>
      <c r="W27">
        <v>3</v>
      </c>
      <c r="X27">
        <v>78</v>
      </c>
      <c r="Y27">
        <v>969</v>
      </c>
    </row>
    <row r="28" spans="1:30" x14ac:dyDescent="0.25">
      <c r="A28">
        <v>6.3410599999999995E-4</v>
      </c>
      <c r="B28">
        <v>1.52287581699346</v>
      </c>
      <c r="C28">
        <v>14.800000190734799</v>
      </c>
      <c r="D28">
        <v>87</v>
      </c>
      <c r="E28">
        <v>25</v>
      </c>
      <c r="F28">
        <v>347</v>
      </c>
      <c r="G28" t="s">
        <v>25</v>
      </c>
      <c r="H28">
        <v>13</v>
      </c>
      <c r="I28">
        <v>55</v>
      </c>
      <c r="J28">
        <v>347</v>
      </c>
      <c r="K28">
        <v>4</v>
      </c>
      <c r="L28" t="s">
        <v>41</v>
      </c>
      <c r="M28">
        <v>72</v>
      </c>
      <c r="N28">
        <v>233</v>
      </c>
      <c r="O28">
        <v>72</v>
      </c>
      <c r="P28">
        <v>4</v>
      </c>
      <c r="Q28">
        <v>1</v>
      </c>
      <c r="R28">
        <v>0.72074800000000006</v>
      </c>
      <c r="S28" t="s">
        <v>27</v>
      </c>
      <c r="T28" s="1">
        <v>6.5381000000000003E-5</v>
      </c>
      <c r="U28">
        <v>6.9886199999999996E-4</v>
      </c>
      <c r="V28">
        <v>5</v>
      </c>
      <c r="W28">
        <v>3</v>
      </c>
      <c r="X28">
        <v>46</v>
      </c>
      <c r="Y28">
        <v>347</v>
      </c>
      <c r="AC28">
        <f>U28/U29</f>
        <v>0.93340029142798364</v>
      </c>
      <c r="AD28">
        <f t="shared" ref="AD28" si="11">I28-I29</f>
        <v>4</v>
      </c>
    </row>
    <row r="29" spans="1:30" x14ac:dyDescent="0.25">
      <c r="A29">
        <v>6.7344499999999995E-4</v>
      </c>
      <c r="B29">
        <v>1.5424836601307099</v>
      </c>
      <c r="C29">
        <v>14.800000190734799</v>
      </c>
      <c r="D29">
        <v>87</v>
      </c>
      <c r="E29">
        <v>25</v>
      </c>
      <c r="F29">
        <v>347</v>
      </c>
      <c r="G29" t="s">
        <v>25</v>
      </c>
      <c r="H29">
        <v>13</v>
      </c>
      <c r="I29">
        <v>51</v>
      </c>
      <c r="J29">
        <v>347</v>
      </c>
      <c r="K29">
        <v>5</v>
      </c>
      <c r="L29" t="s">
        <v>41</v>
      </c>
      <c r="M29">
        <v>67</v>
      </c>
      <c r="N29">
        <v>236</v>
      </c>
      <c r="O29">
        <v>67</v>
      </c>
      <c r="P29">
        <v>4</v>
      </c>
      <c r="Q29">
        <v>1</v>
      </c>
      <c r="R29">
        <v>0.76483500000000004</v>
      </c>
      <c r="S29" t="s">
        <v>28</v>
      </c>
      <c r="T29" s="1">
        <v>7.5615E-5</v>
      </c>
      <c r="U29">
        <v>7.4872700000000003E-4</v>
      </c>
      <c r="V29">
        <v>5</v>
      </c>
      <c r="W29">
        <v>3</v>
      </c>
      <c r="X29">
        <v>42</v>
      </c>
      <c r="Y29">
        <v>347</v>
      </c>
    </row>
    <row r="30" spans="1:30" x14ac:dyDescent="0.25">
      <c r="A30">
        <v>1.447764E-3</v>
      </c>
      <c r="B30">
        <v>2.4971098265895901</v>
      </c>
      <c r="C30">
        <v>16.799999237060501</v>
      </c>
      <c r="D30">
        <v>136</v>
      </c>
      <c r="E30">
        <v>20</v>
      </c>
      <c r="F30">
        <v>629</v>
      </c>
      <c r="G30" t="s">
        <v>25</v>
      </c>
      <c r="H30">
        <v>14</v>
      </c>
      <c r="I30">
        <v>88</v>
      </c>
      <c r="J30">
        <v>629</v>
      </c>
      <c r="K30">
        <v>6</v>
      </c>
      <c r="L30" t="s">
        <v>42</v>
      </c>
      <c r="M30">
        <v>244</v>
      </c>
      <c r="N30">
        <v>432</v>
      </c>
      <c r="O30">
        <v>244</v>
      </c>
      <c r="P30">
        <v>10</v>
      </c>
      <c r="Q30">
        <v>1</v>
      </c>
      <c r="R30">
        <v>1.743511</v>
      </c>
      <c r="S30" t="s">
        <v>27</v>
      </c>
      <c r="T30">
        <v>2.6773299999999998E-4</v>
      </c>
      <c r="U30">
        <v>1.7150640000000001E-3</v>
      </c>
      <c r="V30">
        <v>5</v>
      </c>
      <c r="W30">
        <v>6</v>
      </c>
      <c r="X30">
        <v>70</v>
      </c>
      <c r="Y30">
        <v>629</v>
      </c>
      <c r="AC30">
        <f>U30/U31</f>
        <v>0.98606112315932548</v>
      </c>
      <c r="AD30">
        <f t="shared" ref="AD30" si="12">I30-I31</f>
        <v>-2</v>
      </c>
    </row>
    <row r="31" spans="1:30" x14ac:dyDescent="0.25">
      <c r="A31">
        <v>1.4671299999999899E-3</v>
      </c>
      <c r="B31">
        <v>2.51445086705202</v>
      </c>
      <c r="C31">
        <v>16.799999237060501</v>
      </c>
      <c r="D31">
        <v>136</v>
      </c>
      <c r="E31">
        <v>20</v>
      </c>
      <c r="F31">
        <v>629</v>
      </c>
      <c r="G31" t="s">
        <v>25</v>
      </c>
      <c r="H31">
        <v>14</v>
      </c>
      <c r="I31">
        <v>90</v>
      </c>
      <c r="J31">
        <v>629</v>
      </c>
      <c r="K31">
        <v>6</v>
      </c>
      <c r="L31" t="s">
        <v>42</v>
      </c>
      <c r="M31">
        <v>230</v>
      </c>
      <c r="N31">
        <v>435</v>
      </c>
      <c r="O31">
        <v>230</v>
      </c>
      <c r="P31">
        <v>10</v>
      </c>
      <c r="Q31">
        <v>1</v>
      </c>
      <c r="R31">
        <v>1.7685169999999999</v>
      </c>
      <c r="S31" t="s">
        <v>28</v>
      </c>
      <c r="T31">
        <v>2.7259000000000002E-4</v>
      </c>
      <c r="U31">
        <v>1.739308E-3</v>
      </c>
      <c r="V31">
        <v>5</v>
      </c>
      <c r="W31">
        <v>5</v>
      </c>
      <c r="X31">
        <v>73</v>
      </c>
      <c r="Y31">
        <v>629</v>
      </c>
    </row>
    <row r="32" spans="1:30" x14ac:dyDescent="0.25">
      <c r="A32">
        <v>4.2514390000000001E-3</v>
      </c>
      <c r="B32">
        <v>2.3784194528875302</v>
      </c>
      <c r="C32">
        <v>15.949999809265099</v>
      </c>
      <c r="D32">
        <v>2246</v>
      </c>
      <c r="E32">
        <v>25</v>
      </c>
      <c r="F32">
        <v>53607</v>
      </c>
      <c r="G32" t="s">
        <v>25</v>
      </c>
      <c r="H32">
        <v>15</v>
      </c>
      <c r="I32">
        <v>121</v>
      </c>
      <c r="J32">
        <v>53607</v>
      </c>
      <c r="K32">
        <v>18</v>
      </c>
      <c r="L32" t="s">
        <v>43</v>
      </c>
      <c r="M32">
        <v>822</v>
      </c>
      <c r="N32">
        <v>1565</v>
      </c>
      <c r="O32">
        <v>822</v>
      </c>
      <c r="P32">
        <v>18</v>
      </c>
      <c r="Q32">
        <v>1</v>
      </c>
      <c r="R32">
        <v>7.0643789999999997</v>
      </c>
      <c r="S32" t="s">
        <v>27</v>
      </c>
      <c r="T32">
        <v>2.766892E-3</v>
      </c>
      <c r="U32">
        <v>7.0177319999999996E-3</v>
      </c>
      <c r="V32">
        <v>20</v>
      </c>
      <c r="W32">
        <v>43</v>
      </c>
      <c r="X32">
        <v>58</v>
      </c>
      <c r="Y32">
        <v>53607</v>
      </c>
      <c r="AC32">
        <f>U32/U33</f>
        <v>0.81759387543112305</v>
      </c>
      <c r="AD32">
        <f t="shared" ref="AD32" si="13">I32-I33</f>
        <v>-19</v>
      </c>
    </row>
    <row r="33" spans="1:30" x14ac:dyDescent="0.25">
      <c r="A33">
        <v>4.9172489999999899E-3</v>
      </c>
      <c r="B33">
        <v>2.6474164133738598</v>
      </c>
      <c r="C33">
        <v>15.949999809265099</v>
      </c>
      <c r="D33">
        <v>2246</v>
      </c>
      <c r="E33">
        <v>25</v>
      </c>
      <c r="F33">
        <v>53607</v>
      </c>
      <c r="G33" t="s">
        <v>25</v>
      </c>
      <c r="H33">
        <v>15</v>
      </c>
      <c r="I33">
        <v>140</v>
      </c>
      <c r="J33">
        <v>53607</v>
      </c>
      <c r="K33">
        <v>21</v>
      </c>
      <c r="L33" t="s">
        <v>43</v>
      </c>
      <c r="M33">
        <v>814</v>
      </c>
      <c r="N33">
        <v>1742</v>
      </c>
      <c r="O33">
        <v>814</v>
      </c>
      <c r="P33">
        <v>25</v>
      </c>
      <c r="Q33">
        <v>1</v>
      </c>
      <c r="R33">
        <v>8.6766529999999999</v>
      </c>
      <c r="S33" t="s">
        <v>28</v>
      </c>
      <c r="T33">
        <v>3.6667050000000001E-3</v>
      </c>
      <c r="U33">
        <v>8.5833960000000001E-3</v>
      </c>
      <c r="V33">
        <v>20</v>
      </c>
      <c r="W33">
        <v>41</v>
      </c>
      <c r="X33">
        <v>72</v>
      </c>
      <c r="Y33">
        <v>53607</v>
      </c>
    </row>
    <row r="34" spans="1:30" x14ac:dyDescent="0.25">
      <c r="A34">
        <v>1.5872649999999901E-3</v>
      </c>
      <c r="B34">
        <v>1.8032786885245899</v>
      </c>
      <c r="C34">
        <v>17.799999237060501</v>
      </c>
      <c r="D34">
        <v>136</v>
      </c>
      <c r="E34">
        <v>25</v>
      </c>
      <c r="F34">
        <v>288</v>
      </c>
      <c r="G34" t="s">
        <v>25</v>
      </c>
      <c r="H34">
        <v>16</v>
      </c>
      <c r="I34">
        <v>107</v>
      </c>
      <c r="J34">
        <v>288</v>
      </c>
      <c r="K34">
        <v>4</v>
      </c>
      <c r="L34" t="s">
        <v>44</v>
      </c>
      <c r="M34">
        <v>139</v>
      </c>
      <c r="N34">
        <v>330</v>
      </c>
      <c r="O34">
        <v>139</v>
      </c>
      <c r="P34">
        <v>4</v>
      </c>
      <c r="Q34">
        <v>1</v>
      </c>
      <c r="R34">
        <v>1.796484</v>
      </c>
      <c r="S34" t="s">
        <v>27</v>
      </c>
      <c r="T34">
        <v>1.8684100000000001E-4</v>
      </c>
      <c r="U34">
        <v>1.7736550000000001E-3</v>
      </c>
      <c r="V34">
        <v>5</v>
      </c>
      <c r="W34">
        <v>3</v>
      </c>
      <c r="X34">
        <v>98</v>
      </c>
      <c r="Y34">
        <v>288</v>
      </c>
      <c r="AC34">
        <f>U34/U35</f>
        <v>1.0627478754389781</v>
      </c>
      <c r="AD34">
        <f t="shared" ref="AD34" si="14">I34-I35</f>
        <v>6</v>
      </c>
    </row>
    <row r="35" spans="1:30" x14ac:dyDescent="0.25">
      <c r="A35">
        <v>1.478884E-3</v>
      </c>
      <c r="B35">
        <v>1.8142076502732201</v>
      </c>
      <c r="C35">
        <v>17.799999237060501</v>
      </c>
      <c r="D35">
        <v>136</v>
      </c>
      <c r="E35">
        <v>25</v>
      </c>
      <c r="F35">
        <v>288</v>
      </c>
      <c r="G35" t="s">
        <v>25</v>
      </c>
      <c r="H35">
        <v>16</v>
      </c>
      <c r="I35">
        <v>101</v>
      </c>
      <c r="J35">
        <v>288</v>
      </c>
      <c r="K35">
        <v>4</v>
      </c>
      <c r="L35" t="s">
        <v>44</v>
      </c>
      <c r="M35">
        <v>133</v>
      </c>
      <c r="N35">
        <v>332</v>
      </c>
      <c r="O35">
        <v>133</v>
      </c>
      <c r="P35">
        <v>4</v>
      </c>
      <c r="Q35">
        <v>1</v>
      </c>
      <c r="R35">
        <v>1.7033499999999999</v>
      </c>
      <c r="S35" t="s">
        <v>28</v>
      </c>
      <c r="T35">
        <v>1.9044099999999999E-4</v>
      </c>
      <c r="U35">
        <v>1.668933E-3</v>
      </c>
      <c r="V35">
        <v>5</v>
      </c>
      <c r="W35">
        <v>3</v>
      </c>
      <c r="X35">
        <v>92</v>
      </c>
      <c r="Y35">
        <v>288</v>
      </c>
    </row>
    <row r="36" spans="1:30" x14ac:dyDescent="0.25">
      <c r="A36">
        <v>6.5335899999999995E-4</v>
      </c>
      <c r="B36">
        <v>1.3248407643312099</v>
      </c>
      <c r="C36">
        <v>15.199999809265099</v>
      </c>
      <c r="D36">
        <v>93</v>
      </c>
      <c r="E36">
        <v>25</v>
      </c>
      <c r="F36">
        <v>176</v>
      </c>
      <c r="G36" t="s">
        <v>25</v>
      </c>
      <c r="H36">
        <v>17</v>
      </c>
      <c r="I36">
        <v>44</v>
      </c>
      <c r="J36">
        <v>176</v>
      </c>
      <c r="K36">
        <v>3</v>
      </c>
      <c r="L36" t="s">
        <v>45</v>
      </c>
      <c r="M36">
        <v>47</v>
      </c>
      <c r="N36">
        <v>208</v>
      </c>
      <c r="O36">
        <v>47</v>
      </c>
      <c r="P36">
        <v>3</v>
      </c>
      <c r="Q36">
        <v>1</v>
      </c>
      <c r="R36">
        <v>0.71145700000000001</v>
      </c>
      <c r="S36" t="s">
        <v>27</v>
      </c>
      <c r="T36" s="1">
        <v>4.7491000000000003E-5</v>
      </c>
      <c r="U36">
        <v>7.0036999999999996E-4</v>
      </c>
      <c r="V36">
        <v>5</v>
      </c>
      <c r="W36">
        <v>1</v>
      </c>
      <c r="X36">
        <v>38</v>
      </c>
      <c r="Y36">
        <v>176</v>
      </c>
      <c r="AC36">
        <f>U36/U37</f>
        <v>1.1144899446550247</v>
      </c>
      <c r="AD36">
        <f t="shared" ref="AD36" si="15">I36-I37</f>
        <v>2</v>
      </c>
    </row>
    <row r="37" spans="1:30" x14ac:dyDescent="0.25">
      <c r="A37">
        <v>5.8801699999999895E-4</v>
      </c>
      <c r="B37">
        <v>1.3375796178343899</v>
      </c>
      <c r="C37">
        <v>15.199999809265099</v>
      </c>
      <c r="D37">
        <v>93</v>
      </c>
      <c r="E37">
        <v>25</v>
      </c>
      <c r="F37">
        <v>176</v>
      </c>
      <c r="G37" t="s">
        <v>25</v>
      </c>
      <c r="H37">
        <v>17</v>
      </c>
      <c r="I37">
        <v>42</v>
      </c>
      <c r="J37">
        <v>176</v>
      </c>
      <c r="K37">
        <v>3</v>
      </c>
      <c r="L37" t="s">
        <v>45</v>
      </c>
      <c r="M37">
        <v>45</v>
      </c>
      <c r="N37">
        <v>210</v>
      </c>
      <c r="O37">
        <v>45</v>
      </c>
      <c r="P37">
        <v>3</v>
      </c>
      <c r="Q37">
        <v>1</v>
      </c>
      <c r="R37">
        <v>0.65943300000000005</v>
      </c>
      <c r="S37" t="s">
        <v>28</v>
      </c>
      <c r="T37" s="1">
        <v>4.0809000000000002E-5</v>
      </c>
      <c r="U37">
        <v>6.2842200000000001E-4</v>
      </c>
      <c r="V37">
        <v>5</v>
      </c>
      <c r="W37">
        <v>1</v>
      </c>
      <c r="X37">
        <v>36</v>
      </c>
      <c r="Y37">
        <v>176</v>
      </c>
    </row>
    <row r="38" spans="1:30" x14ac:dyDescent="0.25">
      <c r="A38">
        <v>2.9233511999999701E-2</v>
      </c>
      <c r="B38">
        <v>3.5978835978835901</v>
      </c>
      <c r="C38">
        <v>15.25</v>
      </c>
      <c r="D38">
        <v>2865</v>
      </c>
      <c r="E38">
        <v>25</v>
      </c>
      <c r="F38">
        <v>65828</v>
      </c>
      <c r="G38" t="s">
        <v>25</v>
      </c>
      <c r="H38">
        <v>18</v>
      </c>
      <c r="I38">
        <v>459</v>
      </c>
      <c r="J38">
        <v>65828</v>
      </c>
      <c r="K38">
        <v>37</v>
      </c>
      <c r="L38" t="s">
        <v>46</v>
      </c>
      <c r="M38">
        <v>1931</v>
      </c>
      <c r="N38">
        <v>2720</v>
      </c>
      <c r="O38">
        <v>1931</v>
      </c>
      <c r="P38">
        <v>340</v>
      </c>
      <c r="Q38">
        <v>1</v>
      </c>
      <c r="R38">
        <v>3813.7080310000001</v>
      </c>
      <c r="S38" t="s">
        <v>27</v>
      </c>
      <c r="T38">
        <v>3.7834557420000001</v>
      </c>
      <c r="U38">
        <v>3.81268869899999</v>
      </c>
      <c r="V38">
        <v>24</v>
      </c>
      <c r="W38">
        <v>100</v>
      </c>
      <c r="X38">
        <v>17</v>
      </c>
      <c r="Y38">
        <v>65828</v>
      </c>
      <c r="AC38">
        <f>U38/U39</f>
        <v>0.40540208598725602</v>
      </c>
      <c r="AD38">
        <f t="shared" ref="AD38" si="16">I38-I39</f>
        <v>-38</v>
      </c>
    </row>
    <row r="39" spans="1:30" x14ac:dyDescent="0.25">
      <c r="A39">
        <v>3.7418308000001198E-2</v>
      </c>
      <c r="B39">
        <v>4.2208994708994698</v>
      </c>
      <c r="C39">
        <v>15.25</v>
      </c>
      <c r="D39">
        <v>2865</v>
      </c>
      <c r="E39">
        <v>25</v>
      </c>
      <c r="F39">
        <v>65828</v>
      </c>
      <c r="G39" t="s">
        <v>25</v>
      </c>
      <c r="H39">
        <v>18</v>
      </c>
      <c r="I39">
        <v>497</v>
      </c>
      <c r="J39">
        <v>65828</v>
      </c>
      <c r="K39">
        <v>40</v>
      </c>
      <c r="L39" t="s">
        <v>46</v>
      </c>
      <c r="M39">
        <v>1653</v>
      </c>
      <c r="N39">
        <v>3191</v>
      </c>
      <c r="O39">
        <v>1653</v>
      </c>
      <c r="P39">
        <v>381</v>
      </c>
      <c r="Q39">
        <v>1</v>
      </c>
      <c r="R39">
        <v>9406.223704</v>
      </c>
      <c r="S39" t="s">
        <v>28</v>
      </c>
      <c r="T39">
        <v>9.3672915079999992</v>
      </c>
      <c r="U39">
        <v>9.4047091290000004</v>
      </c>
      <c r="V39">
        <v>24</v>
      </c>
      <c r="W39">
        <v>98</v>
      </c>
      <c r="X39">
        <v>16</v>
      </c>
      <c r="Y39">
        <v>65828</v>
      </c>
    </row>
    <row r="40" spans="1:30" x14ac:dyDescent="0.25">
      <c r="A40">
        <v>8.1158899999999895E-4</v>
      </c>
      <c r="B40">
        <v>1.2949640287769699</v>
      </c>
      <c r="C40">
        <v>13.399999618530201</v>
      </c>
      <c r="D40">
        <v>72</v>
      </c>
      <c r="E40">
        <v>25</v>
      </c>
      <c r="F40">
        <v>676</v>
      </c>
      <c r="G40" t="s">
        <v>25</v>
      </c>
      <c r="H40">
        <v>19</v>
      </c>
      <c r="I40">
        <v>46</v>
      </c>
      <c r="J40">
        <v>676</v>
      </c>
      <c r="K40">
        <v>2</v>
      </c>
      <c r="L40" t="s">
        <v>47</v>
      </c>
      <c r="M40">
        <v>39</v>
      </c>
      <c r="N40">
        <v>180</v>
      </c>
      <c r="O40">
        <v>39</v>
      </c>
      <c r="P40">
        <v>5</v>
      </c>
      <c r="Q40">
        <v>1</v>
      </c>
      <c r="R40">
        <v>1.0113300000000001</v>
      </c>
      <c r="S40" t="s">
        <v>27</v>
      </c>
      <c r="T40" s="1">
        <v>5.1632999999999998E-5</v>
      </c>
      <c r="U40">
        <v>8.6252400000000004E-4</v>
      </c>
      <c r="V40">
        <v>5</v>
      </c>
      <c r="W40">
        <v>0</v>
      </c>
      <c r="X40">
        <v>39</v>
      </c>
      <c r="Y40">
        <v>676</v>
      </c>
      <c r="AC40">
        <f>U40/U41</f>
        <v>1.0002098932791246</v>
      </c>
      <c r="AD40">
        <f t="shared" ref="AD40" si="17">I40-I41</f>
        <v>2</v>
      </c>
    </row>
    <row r="41" spans="1:30" x14ac:dyDescent="0.25">
      <c r="A41">
        <v>8.17054E-4</v>
      </c>
      <c r="B41">
        <v>1.2949640287769699</v>
      </c>
      <c r="C41">
        <v>13.399999618530201</v>
      </c>
      <c r="D41">
        <v>72</v>
      </c>
      <c r="E41">
        <v>25</v>
      </c>
      <c r="F41">
        <v>676</v>
      </c>
      <c r="G41" t="s">
        <v>25</v>
      </c>
      <c r="H41">
        <v>19</v>
      </c>
      <c r="I41">
        <v>44</v>
      </c>
      <c r="J41">
        <v>676</v>
      </c>
      <c r="K41">
        <v>2</v>
      </c>
      <c r="L41" t="s">
        <v>47</v>
      </c>
      <c r="M41">
        <v>37</v>
      </c>
      <c r="N41">
        <v>180</v>
      </c>
      <c r="O41">
        <v>37</v>
      </c>
      <c r="P41">
        <v>5</v>
      </c>
      <c r="Q41">
        <v>1</v>
      </c>
      <c r="R41">
        <v>0.92394600000000005</v>
      </c>
      <c r="S41" t="s">
        <v>28</v>
      </c>
      <c r="T41" s="1">
        <v>4.5735000000000002E-5</v>
      </c>
      <c r="U41">
        <v>8.6234300000000001E-4</v>
      </c>
      <c r="V41">
        <v>5</v>
      </c>
      <c r="W41">
        <v>0</v>
      </c>
      <c r="X41">
        <v>37</v>
      </c>
      <c r="Y41">
        <v>676</v>
      </c>
    </row>
    <row r="42" spans="1:30" x14ac:dyDescent="0.25">
      <c r="A42">
        <v>2.4092200000000001E-3</v>
      </c>
      <c r="B42">
        <v>3.08121827411167</v>
      </c>
      <c r="C42">
        <v>13.571428298950099</v>
      </c>
      <c r="D42">
        <v>150</v>
      </c>
      <c r="E42">
        <v>25</v>
      </c>
      <c r="F42">
        <v>5967</v>
      </c>
      <c r="G42" t="s">
        <v>25</v>
      </c>
      <c r="H42">
        <v>20</v>
      </c>
      <c r="I42">
        <v>112</v>
      </c>
      <c r="J42">
        <v>5967</v>
      </c>
      <c r="K42">
        <v>11</v>
      </c>
      <c r="L42" t="s">
        <v>48</v>
      </c>
      <c r="M42">
        <v>383</v>
      </c>
      <c r="N42">
        <v>607</v>
      </c>
      <c r="O42">
        <v>383</v>
      </c>
      <c r="P42">
        <v>19</v>
      </c>
      <c r="Q42">
        <v>1</v>
      </c>
      <c r="R42">
        <v>3.1560049999999999</v>
      </c>
      <c r="S42" t="s">
        <v>27</v>
      </c>
      <c r="T42">
        <v>7.2213599999999996E-4</v>
      </c>
      <c r="U42">
        <v>3.1309609999999998E-3</v>
      </c>
      <c r="V42">
        <v>7</v>
      </c>
      <c r="W42">
        <v>12</v>
      </c>
      <c r="X42">
        <v>79</v>
      </c>
      <c r="Y42">
        <v>5967</v>
      </c>
      <c r="AC42">
        <f>U42/U43</f>
        <v>0.94325515957358663</v>
      </c>
      <c r="AD42">
        <f t="shared" ref="AD42" si="18">I42-I43</f>
        <v>1</v>
      </c>
    </row>
    <row r="43" spans="1:30" x14ac:dyDescent="0.25">
      <c r="A43">
        <v>2.5086869999999999E-3</v>
      </c>
      <c r="B43">
        <v>3.1624365482233499</v>
      </c>
      <c r="C43">
        <v>13.571428298950099</v>
      </c>
      <c r="D43">
        <v>150</v>
      </c>
      <c r="E43">
        <v>25</v>
      </c>
      <c r="F43">
        <v>5967</v>
      </c>
      <c r="G43" t="s">
        <v>25</v>
      </c>
      <c r="H43">
        <v>20</v>
      </c>
      <c r="I43">
        <v>111</v>
      </c>
      <c r="J43">
        <v>5967</v>
      </c>
      <c r="K43">
        <v>12</v>
      </c>
      <c r="L43" t="s">
        <v>48</v>
      </c>
      <c r="M43">
        <v>358</v>
      </c>
      <c r="N43">
        <v>623</v>
      </c>
      <c r="O43">
        <v>358</v>
      </c>
      <c r="P43">
        <v>19</v>
      </c>
      <c r="Q43">
        <v>1</v>
      </c>
      <c r="R43">
        <v>3.3555839999999999</v>
      </c>
      <c r="S43" t="s">
        <v>28</v>
      </c>
      <c r="T43">
        <v>8.1119099999999995E-4</v>
      </c>
      <c r="U43">
        <v>3.3193150000000002E-3</v>
      </c>
      <c r="V43">
        <v>7</v>
      </c>
      <c r="W43">
        <v>12</v>
      </c>
      <c r="X43">
        <v>78</v>
      </c>
      <c r="Y43">
        <v>5967</v>
      </c>
    </row>
    <row r="44" spans="1:30" x14ac:dyDescent="0.25">
      <c r="A44">
        <v>1.7348019999999999E-3</v>
      </c>
      <c r="B44">
        <v>2.7631578947368398</v>
      </c>
      <c r="C44">
        <v>11.375</v>
      </c>
      <c r="D44">
        <v>130</v>
      </c>
      <c r="E44">
        <v>25</v>
      </c>
      <c r="F44">
        <v>5747</v>
      </c>
      <c r="G44" t="s">
        <v>25</v>
      </c>
      <c r="H44">
        <v>21</v>
      </c>
      <c r="I44">
        <v>84</v>
      </c>
      <c r="J44">
        <v>5747</v>
      </c>
      <c r="K44">
        <v>8</v>
      </c>
      <c r="L44" t="s">
        <v>49</v>
      </c>
      <c r="M44">
        <v>307</v>
      </c>
      <c r="N44">
        <v>525</v>
      </c>
      <c r="O44">
        <v>307</v>
      </c>
      <c r="P44">
        <v>17</v>
      </c>
      <c r="Q44">
        <v>1</v>
      </c>
      <c r="R44">
        <v>2.1391770000000001</v>
      </c>
      <c r="S44" t="s">
        <v>27</v>
      </c>
      <c r="T44">
        <v>3.8495700000000001E-4</v>
      </c>
      <c r="U44">
        <v>2.119269E-3</v>
      </c>
      <c r="V44">
        <v>8</v>
      </c>
      <c r="W44">
        <v>11</v>
      </c>
      <c r="X44">
        <v>54</v>
      </c>
      <c r="Y44">
        <v>5747</v>
      </c>
      <c r="AC44">
        <f>U44/U45</f>
        <v>0.77192241834924269</v>
      </c>
      <c r="AD44">
        <f t="shared" ref="AD44" si="19">I44-I45</f>
        <v>1</v>
      </c>
    </row>
    <row r="45" spans="1:30" x14ac:dyDescent="0.25">
      <c r="A45">
        <v>2.1630679999999898E-3</v>
      </c>
      <c r="B45">
        <v>3.3578947368421002</v>
      </c>
      <c r="C45">
        <v>11.375</v>
      </c>
      <c r="D45">
        <v>130</v>
      </c>
      <c r="E45">
        <v>25</v>
      </c>
      <c r="F45">
        <v>5747</v>
      </c>
      <c r="G45" t="s">
        <v>25</v>
      </c>
      <c r="H45">
        <v>21</v>
      </c>
      <c r="I45">
        <v>83</v>
      </c>
      <c r="J45">
        <v>5747</v>
      </c>
      <c r="K45">
        <v>11</v>
      </c>
      <c r="L45" t="s">
        <v>49</v>
      </c>
      <c r="M45">
        <v>370</v>
      </c>
      <c r="N45">
        <v>638</v>
      </c>
      <c r="O45">
        <v>370</v>
      </c>
      <c r="P45">
        <v>20</v>
      </c>
      <c r="Q45">
        <v>1</v>
      </c>
      <c r="R45">
        <v>2.798219</v>
      </c>
      <c r="S45" t="s">
        <v>28</v>
      </c>
      <c r="T45">
        <v>5.8290299999999996E-4</v>
      </c>
      <c r="U45">
        <v>2.7454430000000002E-3</v>
      </c>
      <c r="V45">
        <v>8</v>
      </c>
      <c r="W45">
        <v>14</v>
      </c>
      <c r="X45">
        <v>47</v>
      </c>
      <c r="Y45">
        <v>5747</v>
      </c>
    </row>
    <row r="46" spans="1:30" x14ac:dyDescent="0.25">
      <c r="A46">
        <v>8.8412585000000293E-2</v>
      </c>
      <c r="B46">
        <v>4.9207547169811301</v>
      </c>
      <c r="C46">
        <v>15.399999618530201</v>
      </c>
      <c r="D46">
        <v>3202</v>
      </c>
      <c r="E46">
        <v>25</v>
      </c>
      <c r="G46" t="s">
        <v>25</v>
      </c>
      <c r="H46">
        <v>22</v>
      </c>
      <c r="I46">
        <v>977</v>
      </c>
      <c r="J46">
        <v>75440</v>
      </c>
      <c r="K46">
        <v>47</v>
      </c>
      <c r="L46" t="s">
        <v>50</v>
      </c>
      <c r="M46">
        <v>2929</v>
      </c>
      <c r="N46">
        <v>3912</v>
      </c>
      <c r="O46">
        <v>2929</v>
      </c>
      <c r="P46">
        <v>825</v>
      </c>
      <c r="Q46">
        <v>1</v>
      </c>
      <c r="R46">
        <v>120000</v>
      </c>
      <c r="S46" t="s">
        <v>27</v>
      </c>
      <c r="T46">
        <v>120.398812886</v>
      </c>
      <c r="U46">
        <v>120.487224853</v>
      </c>
      <c r="V46">
        <v>25</v>
      </c>
      <c r="W46">
        <v>142</v>
      </c>
      <c r="X46">
        <v>9</v>
      </c>
      <c r="Y46">
        <v>2147483647</v>
      </c>
      <c r="AC46">
        <f>U46/U47</f>
        <v>0.99512766198156488</v>
      </c>
      <c r="AD46">
        <f t="shared" ref="AD46" si="20">I46-I47</f>
        <v>260</v>
      </c>
    </row>
    <row r="47" spans="1:30" x14ac:dyDescent="0.25">
      <c r="A47">
        <v>7.1231677000000104E-2</v>
      </c>
      <c r="B47">
        <v>4.9584905660377299</v>
      </c>
      <c r="C47">
        <v>15.399999618530201</v>
      </c>
      <c r="D47">
        <v>3202</v>
      </c>
      <c r="E47">
        <v>25</v>
      </c>
      <c r="G47" t="s">
        <v>25</v>
      </c>
      <c r="H47">
        <v>22</v>
      </c>
      <c r="I47">
        <v>717</v>
      </c>
      <c r="J47">
        <v>75376</v>
      </c>
      <c r="K47">
        <v>46</v>
      </c>
      <c r="L47" t="s">
        <v>50</v>
      </c>
      <c r="M47">
        <v>2029</v>
      </c>
      <c r="N47">
        <v>3942</v>
      </c>
      <c r="O47">
        <v>2029</v>
      </c>
      <c r="P47">
        <v>600</v>
      </c>
      <c r="Q47">
        <v>1</v>
      </c>
      <c r="R47">
        <v>120000</v>
      </c>
      <c r="S47" t="s">
        <v>28</v>
      </c>
      <c r="T47">
        <v>121.00592254199999</v>
      </c>
      <c r="U47">
        <v>121.07715367199999</v>
      </c>
      <c r="V47">
        <v>25</v>
      </c>
      <c r="W47">
        <v>115</v>
      </c>
      <c r="X47">
        <v>1</v>
      </c>
      <c r="Y47">
        <v>2147483647</v>
      </c>
    </row>
    <row r="48" spans="1:30" x14ac:dyDescent="0.25">
      <c r="A48">
        <v>2.1963149999999999E-3</v>
      </c>
      <c r="B48">
        <v>1.7094017094017</v>
      </c>
      <c r="C48">
        <v>16.214284896850501</v>
      </c>
      <c r="D48">
        <v>970</v>
      </c>
      <c r="E48">
        <v>25</v>
      </c>
      <c r="F48">
        <v>918</v>
      </c>
      <c r="G48" t="s">
        <v>25</v>
      </c>
      <c r="H48">
        <v>23</v>
      </c>
      <c r="I48">
        <v>57</v>
      </c>
      <c r="J48">
        <v>918</v>
      </c>
      <c r="K48">
        <v>9</v>
      </c>
      <c r="L48" t="s">
        <v>51</v>
      </c>
      <c r="M48">
        <v>288</v>
      </c>
      <c r="N48">
        <v>800</v>
      </c>
      <c r="O48">
        <v>288</v>
      </c>
      <c r="P48">
        <v>6</v>
      </c>
      <c r="Q48">
        <v>1</v>
      </c>
      <c r="R48">
        <v>2.6329530000000001</v>
      </c>
      <c r="S48" t="s">
        <v>27</v>
      </c>
      <c r="T48">
        <v>3.51319E-4</v>
      </c>
      <c r="U48">
        <v>2.5471209999999998E-3</v>
      </c>
      <c r="V48">
        <v>14</v>
      </c>
      <c r="W48">
        <v>19</v>
      </c>
      <c r="X48">
        <v>30</v>
      </c>
      <c r="Y48">
        <v>918</v>
      </c>
      <c r="AC48">
        <f>U48/U49</f>
        <v>0.96693005749297234</v>
      </c>
      <c r="AD48">
        <f t="shared" ref="AD48" si="21">I48-I49</f>
        <v>2</v>
      </c>
    </row>
    <row r="49" spans="1:30" x14ac:dyDescent="0.25">
      <c r="A49">
        <v>2.2273409999999999E-3</v>
      </c>
      <c r="B49">
        <v>1.7841880341880301</v>
      </c>
      <c r="C49">
        <v>16.214284896850501</v>
      </c>
      <c r="D49">
        <v>970</v>
      </c>
      <c r="E49">
        <v>25</v>
      </c>
      <c r="F49">
        <v>918</v>
      </c>
      <c r="G49" t="s">
        <v>25</v>
      </c>
      <c r="H49">
        <v>23</v>
      </c>
      <c r="I49">
        <v>55</v>
      </c>
      <c r="J49">
        <v>918</v>
      </c>
      <c r="K49">
        <v>9</v>
      </c>
      <c r="L49" t="s">
        <v>51</v>
      </c>
      <c r="M49">
        <v>273</v>
      </c>
      <c r="N49">
        <v>835</v>
      </c>
      <c r="O49">
        <v>273</v>
      </c>
      <c r="P49">
        <v>6</v>
      </c>
      <c r="Q49">
        <v>1</v>
      </c>
      <c r="R49">
        <v>2.6998380000000002</v>
      </c>
      <c r="S49" t="s">
        <v>28</v>
      </c>
      <c r="T49">
        <v>4.0734400000000002E-4</v>
      </c>
      <c r="U49">
        <v>2.634235E-3</v>
      </c>
      <c r="V49">
        <v>14</v>
      </c>
      <c r="W49">
        <v>19</v>
      </c>
      <c r="X49">
        <v>28</v>
      </c>
      <c r="Y49">
        <v>918</v>
      </c>
    </row>
    <row r="50" spans="1:30" s="3" customFormat="1" x14ac:dyDescent="0.25">
      <c r="A50" s="3">
        <v>2.7394490000000001E-2</v>
      </c>
      <c r="B50" s="3">
        <v>4.3982300884955698</v>
      </c>
      <c r="C50" s="3">
        <v>20.931034088134702</v>
      </c>
      <c r="D50" s="3">
        <v>5915</v>
      </c>
      <c r="E50" s="3">
        <v>33</v>
      </c>
      <c r="F50" s="3">
        <v>9621</v>
      </c>
      <c r="G50" s="3" t="s">
        <v>25</v>
      </c>
      <c r="H50" s="3">
        <v>24</v>
      </c>
      <c r="I50" s="3">
        <v>249</v>
      </c>
      <c r="J50" s="3">
        <v>9621</v>
      </c>
      <c r="K50" s="3">
        <v>17</v>
      </c>
      <c r="L50" s="3" t="s">
        <v>52</v>
      </c>
      <c r="M50" s="3">
        <v>3781</v>
      </c>
      <c r="N50" s="3">
        <v>5467</v>
      </c>
      <c r="O50" s="3">
        <v>3781</v>
      </c>
      <c r="P50" s="3">
        <v>83</v>
      </c>
      <c r="Q50" s="3">
        <v>2</v>
      </c>
      <c r="R50" s="3">
        <v>141.56845799999999</v>
      </c>
      <c r="S50" s="3" t="s">
        <v>27</v>
      </c>
      <c r="T50" s="3">
        <v>0.11394821400000001</v>
      </c>
      <c r="U50" s="3">
        <v>0.141342039</v>
      </c>
      <c r="V50" s="3">
        <v>29</v>
      </c>
      <c r="W50" s="3">
        <v>102</v>
      </c>
      <c r="X50" s="3">
        <v>61</v>
      </c>
      <c r="Y50" s="3">
        <v>9621</v>
      </c>
      <c r="AC50" s="3">
        <f>U50/U51</f>
        <v>0.93640265406365764</v>
      </c>
      <c r="AD50" s="3">
        <f t="shared" ref="AD50" si="22">I50-I51</f>
        <v>17</v>
      </c>
    </row>
    <row r="51" spans="1:30" x14ac:dyDescent="0.25">
      <c r="A51">
        <v>2.4534745999999899E-2</v>
      </c>
      <c r="B51">
        <v>4.8326629123089297</v>
      </c>
      <c r="C51">
        <v>20.931034088134702</v>
      </c>
      <c r="D51">
        <v>5915</v>
      </c>
      <c r="E51">
        <v>33</v>
      </c>
      <c r="F51">
        <v>9621</v>
      </c>
      <c r="G51" t="s">
        <v>25</v>
      </c>
      <c r="H51">
        <v>24</v>
      </c>
      <c r="I51">
        <v>232</v>
      </c>
      <c r="J51">
        <v>9621</v>
      </c>
      <c r="K51">
        <v>23</v>
      </c>
      <c r="L51" t="s">
        <v>52</v>
      </c>
      <c r="M51">
        <v>3580</v>
      </c>
      <c r="N51">
        <v>6007</v>
      </c>
      <c r="O51">
        <v>3580</v>
      </c>
      <c r="P51">
        <v>93</v>
      </c>
      <c r="Q51">
        <v>2</v>
      </c>
      <c r="R51">
        <v>151.40732199999999</v>
      </c>
      <c r="S51" t="s">
        <v>28</v>
      </c>
      <c r="T51">
        <v>0.126407555</v>
      </c>
      <c r="U51">
        <v>0.150941519</v>
      </c>
      <c r="V51">
        <v>29</v>
      </c>
      <c r="W51">
        <v>89</v>
      </c>
      <c r="X51">
        <v>47</v>
      </c>
      <c r="Y51">
        <v>9621</v>
      </c>
    </row>
    <row r="52" spans="1:30" x14ac:dyDescent="0.25">
      <c r="A52">
        <v>4.1752259999999902E-2</v>
      </c>
      <c r="B52">
        <v>4.2482051282051199</v>
      </c>
      <c r="C52">
        <v>19</v>
      </c>
      <c r="D52">
        <v>3735</v>
      </c>
      <c r="E52">
        <v>33</v>
      </c>
      <c r="F52">
        <v>6859</v>
      </c>
      <c r="G52" t="s">
        <v>25</v>
      </c>
      <c r="H52">
        <v>25</v>
      </c>
      <c r="I52">
        <v>453</v>
      </c>
      <c r="J52">
        <v>6859</v>
      </c>
      <c r="K52">
        <v>17</v>
      </c>
      <c r="L52" t="s">
        <v>53</v>
      </c>
      <c r="M52">
        <v>2830</v>
      </c>
      <c r="N52">
        <v>4142</v>
      </c>
      <c r="O52">
        <v>2830</v>
      </c>
      <c r="P52">
        <v>249</v>
      </c>
      <c r="Q52">
        <v>1</v>
      </c>
      <c r="R52">
        <v>3469.98317</v>
      </c>
      <c r="S52" t="s">
        <v>27</v>
      </c>
      <c r="T52">
        <v>3.4269548400000001</v>
      </c>
      <c r="U52">
        <v>3.4687064909999998</v>
      </c>
      <c r="V52">
        <v>25</v>
      </c>
      <c r="W52">
        <v>95</v>
      </c>
      <c r="X52">
        <v>107</v>
      </c>
      <c r="Y52">
        <v>6859</v>
      </c>
      <c r="AC52">
        <f>U52/U53</f>
        <v>1.04612246517404</v>
      </c>
      <c r="AD52">
        <f t="shared" ref="AD52" si="23">I52-I53</f>
        <v>-21</v>
      </c>
    </row>
    <row r="53" spans="1:30" x14ac:dyDescent="0.25">
      <c r="A53">
        <v>4.3185543999999902E-2</v>
      </c>
      <c r="B53">
        <v>4.8574358974358898</v>
      </c>
      <c r="C53">
        <v>19</v>
      </c>
      <c r="D53">
        <v>3735</v>
      </c>
      <c r="E53">
        <v>33</v>
      </c>
      <c r="F53">
        <v>6859</v>
      </c>
      <c r="G53" t="s">
        <v>25</v>
      </c>
      <c r="H53">
        <v>25</v>
      </c>
      <c r="I53">
        <v>474</v>
      </c>
      <c r="J53">
        <v>6859</v>
      </c>
      <c r="K53">
        <v>20</v>
      </c>
      <c r="L53" t="s">
        <v>53</v>
      </c>
      <c r="M53">
        <v>2880</v>
      </c>
      <c r="N53">
        <v>4736</v>
      </c>
      <c r="O53">
        <v>2880</v>
      </c>
      <c r="P53">
        <v>286</v>
      </c>
      <c r="Q53">
        <v>1</v>
      </c>
      <c r="R53">
        <v>3317.0730709999998</v>
      </c>
      <c r="S53" t="s">
        <v>28</v>
      </c>
      <c r="T53">
        <v>3.2725898980000001</v>
      </c>
      <c r="U53">
        <v>3.3157747839999998</v>
      </c>
      <c r="V53">
        <v>25</v>
      </c>
      <c r="W53">
        <v>99</v>
      </c>
      <c r="X53">
        <v>87</v>
      </c>
      <c r="Y53">
        <v>6859</v>
      </c>
    </row>
    <row r="54" spans="1:30" x14ac:dyDescent="0.25">
      <c r="A54">
        <v>1.3943172999999901E-2</v>
      </c>
      <c r="B54">
        <v>3.52868852459016</v>
      </c>
      <c r="C54">
        <v>22.375</v>
      </c>
      <c r="D54">
        <v>2061</v>
      </c>
      <c r="E54">
        <v>33</v>
      </c>
      <c r="F54">
        <v>2077</v>
      </c>
      <c r="G54" t="s">
        <v>25</v>
      </c>
      <c r="H54">
        <v>26</v>
      </c>
      <c r="I54">
        <v>227</v>
      </c>
      <c r="J54">
        <v>2077</v>
      </c>
      <c r="K54">
        <v>12</v>
      </c>
      <c r="L54" t="s">
        <v>54</v>
      </c>
      <c r="M54">
        <v>1691</v>
      </c>
      <c r="N54">
        <v>2583</v>
      </c>
      <c r="O54">
        <v>1691</v>
      </c>
      <c r="P54">
        <v>60</v>
      </c>
      <c r="Q54">
        <v>1</v>
      </c>
      <c r="R54">
        <v>56.639319999999998</v>
      </c>
      <c r="S54" t="s">
        <v>27</v>
      </c>
      <c r="T54">
        <v>4.2560593000000001E-2</v>
      </c>
      <c r="U54">
        <v>5.6503336000000001E-2</v>
      </c>
      <c r="V54">
        <v>16</v>
      </c>
      <c r="W54">
        <v>57</v>
      </c>
      <c r="X54">
        <v>108</v>
      </c>
      <c r="Y54">
        <v>2077</v>
      </c>
      <c r="AC54">
        <f>U54/U55</f>
        <v>1.0772950759692232</v>
      </c>
      <c r="AD54">
        <f t="shared" ref="AD54" si="24">I54-I55</f>
        <v>14</v>
      </c>
    </row>
    <row r="55" spans="1:30" x14ac:dyDescent="0.25">
      <c r="A55">
        <v>1.2996176999999901E-2</v>
      </c>
      <c r="B55">
        <v>3.90437158469945</v>
      </c>
      <c r="C55">
        <v>22.375</v>
      </c>
      <c r="D55">
        <v>2061</v>
      </c>
      <c r="E55">
        <v>33</v>
      </c>
      <c r="F55">
        <v>2077</v>
      </c>
      <c r="G55" t="s">
        <v>25</v>
      </c>
      <c r="H55">
        <v>26</v>
      </c>
      <c r="I55">
        <v>213</v>
      </c>
      <c r="J55">
        <v>2077</v>
      </c>
      <c r="K55">
        <v>16</v>
      </c>
      <c r="L55" t="s">
        <v>54</v>
      </c>
      <c r="M55">
        <v>1686</v>
      </c>
      <c r="N55">
        <v>2858</v>
      </c>
      <c r="O55">
        <v>1686</v>
      </c>
      <c r="P55">
        <v>56</v>
      </c>
      <c r="Q55">
        <v>1</v>
      </c>
      <c r="R55">
        <v>52.588160999999999</v>
      </c>
      <c r="S55" t="s">
        <v>28</v>
      </c>
      <c r="T55">
        <v>3.9453580000000002E-2</v>
      </c>
      <c r="U55">
        <v>5.2449266000000001E-2</v>
      </c>
      <c r="V55">
        <v>16</v>
      </c>
      <c r="W55">
        <v>60</v>
      </c>
      <c r="X55">
        <v>95</v>
      </c>
      <c r="Y55">
        <v>2077</v>
      </c>
    </row>
    <row r="56" spans="1:30" x14ac:dyDescent="0.25">
      <c r="A56">
        <v>4.2980789999999998E-3</v>
      </c>
      <c r="B56">
        <v>2.3442028985507202</v>
      </c>
      <c r="C56">
        <v>19.214284896850501</v>
      </c>
      <c r="D56">
        <v>1175</v>
      </c>
      <c r="E56">
        <v>33</v>
      </c>
      <c r="F56">
        <v>2069</v>
      </c>
      <c r="G56" t="s">
        <v>25</v>
      </c>
      <c r="H56">
        <v>27</v>
      </c>
      <c r="I56">
        <v>112</v>
      </c>
      <c r="J56">
        <v>2069</v>
      </c>
      <c r="K56">
        <v>10</v>
      </c>
      <c r="L56" t="s">
        <v>55</v>
      </c>
      <c r="M56">
        <v>677</v>
      </c>
      <c r="N56">
        <v>1294</v>
      </c>
      <c r="O56">
        <v>677</v>
      </c>
      <c r="P56">
        <v>14</v>
      </c>
      <c r="Q56">
        <v>1</v>
      </c>
      <c r="R56">
        <v>5.4787549999999996</v>
      </c>
      <c r="S56" t="s">
        <v>27</v>
      </c>
      <c r="T56">
        <v>1.139911E-3</v>
      </c>
      <c r="U56">
        <v>5.437458E-3</v>
      </c>
      <c r="V56">
        <v>14</v>
      </c>
      <c r="W56">
        <v>20</v>
      </c>
      <c r="X56">
        <v>76</v>
      </c>
      <c r="Y56">
        <v>2069</v>
      </c>
      <c r="AC56">
        <f>U56/U57</f>
        <v>1.0674866860068937</v>
      </c>
      <c r="AD56">
        <f t="shared" ref="AD56" si="25">I56-I57</f>
        <v>5</v>
      </c>
    </row>
    <row r="57" spans="1:30" x14ac:dyDescent="0.25">
      <c r="A57">
        <v>3.8483620000000001E-3</v>
      </c>
      <c r="B57">
        <v>2.5688405797101401</v>
      </c>
      <c r="C57">
        <v>19.214284896850501</v>
      </c>
      <c r="D57">
        <v>1175</v>
      </c>
      <c r="E57">
        <v>33</v>
      </c>
      <c r="F57">
        <v>2069</v>
      </c>
      <c r="G57" t="s">
        <v>25</v>
      </c>
      <c r="H57">
        <v>27</v>
      </c>
      <c r="I57">
        <v>107</v>
      </c>
      <c r="J57">
        <v>2069</v>
      </c>
      <c r="K57">
        <v>10</v>
      </c>
      <c r="L57" t="s">
        <v>55</v>
      </c>
      <c r="M57">
        <v>686</v>
      </c>
      <c r="N57">
        <v>1418</v>
      </c>
      <c r="O57">
        <v>686</v>
      </c>
      <c r="P57">
        <v>15</v>
      </c>
      <c r="Q57">
        <v>1</v>
      </c>
      <c r="R57">
        <v>5.1627549999999998</v>
      </c>
      <c r="S57" t="s">
        <v>28</v>
      </c>
      <c r="T57">
        <v>1.245831E-3</v>
      </c>
      <c r="U57">
        <v>5.093701E-3</v>
      </c>
      <c r="V57">
        <v>14</v>
      </c>
      <c r="W57">
        <v>25</v>
      </c>
      <c r="X57">
        <v>65</v>
      </c>
      <c r="Y57">
        <v>2069</v>
      </c>
    </row>
    <row r="58" spans="1:30" x14ac:dyDescent="0.25">
      <c r="A58">
        <v>5.969505E-3</v>
      </c>
      <c r="B58">
        <v>2.6392405063291098</v>
      </c>
      <c r="C58">
        <v>19.25</v>
      </c>
      <c r="D58">
        <v>876</v>
      </c>
      <c r="E58">
        <v>33</v>
      </c>
      <c r="F58">
        <v>2773</v>
      </c>
      <c r="G58" t="s">
        <v>25</v>
      </c>
      <c r="H58">
        <v>28</v>
      </c>
      <c r="I58">
        <v>185</v>
      </c>
      <c r="J58">
        <v>2773</v>
      </c>
      <c r="K58">
        <v>14</v>
      </c>
      <c r="L58" t="s">
        <v>56</v>
      </c>
      <c r="M58">
        <v>714</v>
      </c>
      <c r="N58">
        <v>1251</v>
      </c>
      <c r="O58">
        <v>714</v>
      </c>
      <c r="P58">
        <v>70</v>
      </c>
      <c r="Q58">
        <v>1</v>
      </c>
      <c r="R58">
        <v>22.935441999999998</v>
      </c>
      <c r="S58" t="s">
        <v>27</v>
      </c>
      <c r="T58">
        <v>1.6839041999999999E-2</v>
      </c>
      <c r="U58">
        <v>2.280803E-2</v>
      </c>
      <c r="V58">
        <v>12</v>
      </c>
      <c r="W58">
        <v>28</v>
      </c>
      <c r="X58">
        <v>85</v>
      </c>
      <c r="Y58">
        <v>2773</v>
      </c>
      <c r="AC58">
        <f>U58/U59</f>
        <v>2.6111514316288054E-2</v>
      </c>
      <c r="AD58">
        <f t="shared" ref="AD58" si="26">I58-I59</f>
        <v>-216</v>
      </c>
    </row>
    <row r="59" spans="1:30" x14ac:dyDescent="0.25">
      <c r="A59">
        <v>1.7465663999999999E-2</v>
      </c>
      <c r="B59">
        <v>2.95569620253164</v>
      </c>
      <c r="C59">
        <v>19.25</v>
      </c>
      <c r="D59">
        <v>876</v>
      </c>
      <c r="E59">
        <v>33</v>
      </c>
      <c r="F59">
        <v>2773</v>
      </c>
      <c r="G59" t="s">
        <v>25</v>
      </c>
      <c r="H59">
        <v>28</v>
      </c>
      <c r="I59">
        <v>401</v>
      </c>
      <c r="J59">
        <v>2773</v>
      </c>
      <c r="K59">
        <v>12</v>
      </c>
      <c r="L59" t="s">
        <v>56</v>
      </c>
      <c r="M59">
        <v>718</v>
      </c>
      <c r="N59">
        <v>1401</v>
      </c>
      <c r="O59">
        <v>718</v>
      </c>
      <c r="P59">
        <v>272</v>
      </c>
      <c r="Q59">
        <v>1</v>
      </c>
      <c r="R59">
        <v>873.95637799999997</v>
      </c>
      <c r="S59" t="s">
        <v>28</v>
      </c>
      <c r="T59">
        <v>0.85602041299999998</v>
      </c>
      <c r="U59">
        <v>0.87348553299999998</v>
      </c>
      <c r="V59">
        <v>12</v>
      </c>
      <c r="W59">
        <v>37</v>
      </c>
      <c r="X59">
        <v>90</v>
      </c>
      <c r="Y59">
        <v>2773</v>
      </c>
    </row>
    <row r="60" spans="1:30" x14ac:dyDescent="0.25">
      <c r="A60">
        <v>2.1363799999999998E-3</v>
      </c>
      <c r="B60">
        <v>2.3954248366013</v>
      </c>
      <c r="C60">
        <v>18.625</v>
      </c>
      <c r="D60">
        <v>307</v>
      </c>
      <c r="E60">
        <v>33</v>
      </c>
      <c r="F60">
        <v>1679</v>
      </c>
      <c r="G60" t="s">
        <v>25</v>
      </c>
      <c r="H60">
        <v>29</v>
      </c>
      <c r="I60">
        <v>101</v>
      </c>
      <c r="J60">
        <v>1679</v>
      </c>
      <c r="K60">
        <v>9</v>
      </c>
      <c r="L60" t="s">
        <v>57</v>
      </c>
      <c r="M60">
        <v>383</v>
      </c>
      <c r="N60">
        <v>733</v>
      </c>
      <c r="O60">
        <v>383</v>
      </c>
      <c r="P60">
        <v>13</v>
      </c>
      <c r="Q60">
        <v>1</v>
      </c>
      <c r="R60">
        <v>2.7387450000000002</v>
      </c>
      <c r="S60" t="s">
        <v>27</v>
      </c>
      <c r="T60">
        <v>5.7282800000000005E-4</v>
      </c>
      <c r="U60">
        <v>2.7087360000000002E-3</v>
      </c>
      <c r="V60">
        <v>8</v>
      </c>
      <c r="W60">
        <v>20</v>
      </c>
      <c r="X60">
        <v>66</v>
      </c>
      <c r="Y60">
        <v>1679</v>
      </c>
      <c r="AC60">
        <f>U60/U61</f>
        <v>0.67240271241271143</v>
      </c>
      <c r="AD60">
        <f t="shared" ref="AD60" si="27">I60-I61</f>
        <v>-5</v>
      </c>
    </row>
    <row r="61" spans="1:30" x14ac:dyDescent="0.25">
      <c r="A61">
        <v>3.1783470000000002E-3</v>
      </c>
      <c r="B61">
        <v>2.6764705882352899</v>
      </c>
      <c r="C61">
        <v>18.625</v>
      </c>
      <c r="D61">
        <v>307</v>
      </c>
      <c r="E61">
        <v>33</v>
      </c>
      <c r="F61">
        <v>1679</v>
      </c>
      <c r="G61" t="s">
        <v>25</v>
      </c>
      <c r="H61">
        <v>29</v>
      </c>
      <c r="I61">
        <v>106</v>
      </c>
      <c r="J61">
        <v>1679</v>
      </c>
      <c r="K61">
        <v>12</v>
      </c>
      <c r="L61" t="s">
        <v>57</v>
      </c>
      <c r="M61">
        <v>439</v>
      </c>
      <c r="N61">
        <v>819</v>
      </c>
      <c r="O61">
        <v>439</v>
      </c>
      <c r="P61">
        <v>18</v>
      </c>
      <c r="Q61">
        <v>1</v>
      </c>
      <c r="R61">
        <v>4.0682210000000003</v>
      </c>
      <c r="S61" t="s">
        <v>28</v>
      </c>
      <c r="T61">
        <v>8.5059600000000001E-4</v>
      </c>
      <c r="U61">
        <v>4.0284429999999996E-3</v>
      </c>
      <c r="V61">
        <v>8</v>
      </c>
      <c r="W61">
        <v>13</v>
      </c>
      <c r="X61">
        <v>73</v>
      </c>
      <c r="Y61">
        <v>1679</v>
      </c>
    </row>
    <row r="62" spans="1:30" x14ac:dyDescent="0.25">
      <c r="A62">
        <v>2.0293239999999999E-3</v>
      </c>
      <c r="B62">
        <v>2.41904761904761</v>
      </c>
      <c r="C62">
        <v>12.625</v>
      </c>
      <c r="D62">
        <v>126</v>
      </c>
      <c r="E62">
        <v>33</v>
      </c>
      <c r="F62">
        <v>1393</v>
      </c>
      <c r="G62" t="s">
        <v>25</v>
      </c>
      <c r="H62">
        <v>30</v>
      </c>
      <c r="I62">
        <v>95</v>
      </c>
      <c r="J62">
        <v>1393</v>
      </c>
      <c r="K62">
        <v>7</v>
      </c>
      <c r="L62" t="s">
        <v>58</v>
      </c>
      <c r="M62">
        <v>276</v>
      </c>
      <c r="N62">
        <v>508</v>
      </c>
      <c r="O62">
        <v>276</v>
      </c>
      <c r="P62">
        <v>9</v>
      </c>
      <c r="Q62">
        <v>1</v>
      </c>
      <c r="R62">
        <v>2.5178180000000001</v>
      </c>
      <c r="S62" t="s">
        <v>27</v>
      </c>
      <c r="T62">
        <v>4.6529900000000002E-4</v>
      </c>
      <c r="U62">
        <v>2.494118E-3</v>
      </c>
      <c r="V62">
        <v>8</v>
      </c>
      <c r="W62">
        <v>8</v>
      </c>
      <c r="X62">
        <v>76</v>
      </c>
      <c r="Y62">
        <v>1393</v>
      </c>
      <c r="AC62">
        <f>U62/U63</f>
        <v>0.91668283833331865</v>
      </c>
      <c r="AD62">
        <f t="shared" ref="AD62" si="28">I62-I63</f>
        <v>1</v>
      </c>
    </row>
    <row r="63" spans="1:30" x14ac:dyDescent="0.25">
      <c r="A63">
        <v>2.2293769999999998E-3</v>
      </c>
      <c r="B63">
        <v>2.5190476190476101</v>
      </c>
      <c r="C63">
        <v>12.625</v>
      </c>
      <c r="D63">
        <v>126</v>
      </c>
      <c r="E63">
        <v>33</v>
      </c>
      <c r="F63">
        <v>1393</v>
      </c>
      <c r="G63" t="s">
        <v>25</v>
      </c>
      <c r="H63">
        <v>30</v>
      </c>
      <c r="I63">
        <v>94</v>
      </c>
      <c r="J63">
        <v>1393</v>
      </c>
      <c r="K63">
        <v>8</v>
      </c>
      <c r="L63" t="s">
        <v>58</v>
      </c>
      <c r="M63">
        <v>262</v>
      </c>
      <c r="N63">
        <v>529</v>
      </c>
      <c r="O63">
        <v>262</v>
      </c>
      <c r="P63">
        <v>9</v>
      </c>
      <c r="Q63">
        <v>1</v>
      </c>
      <c r="R63">
        <v>2.7587969999999999</v>
      </c>
      <c r="S63" t="s">
        <v>28</v>
      </c>
      <c r="T63">
        <v>4.9195100000000002E-4</v>
      </c>
      <c r="U63">
        <v>2.7208079999999999E-3</v>
      </c>
      <c r="V63">
        <v>8</v>
      </c>
      <c r="W63">
        <v>9</v>
      </c>
      <c r="X63">
        <v>74</v>
      </c>
      <c r="Y63">
        <v>1393</v>
      </c>
    </row>
    <row r="64" spans="1:30" x14ac:dyDescent="0.25">
      <c r="A64">
        <v>0.10718432099999101</v>
      </c>
      <c r="B64">
        <v>5.7820163487738396</v>
      </c>
      <c r="C64">
        <v>19.888889312744102</v>
      </c>
      <c r="D64">
        <v>4862</v>
      </c>
      <c r="E64">
        <v>33</v>
      </c>
      <c r="G64" t="s">
        <v>25</v>
      </c>
      <c r="H64">
        <v>31</v>
      </c>
      <c r="I64">
        <v>1157</v>
      </c>
      <c r="J64">
        <v>19709</v>
      </c>
      <c r="K64">
        <v>30</v>
      </c>
      <c r="L64" t="s">
        <v>59</v>
      </c>
      <c r="M64">
        <v>4452</v>
      </c>
      <c r="N64">
        <v>6366</v>
      </c>
      <c r="O64">
        <v>4452</v>
      </c>
      <c r="P64">
        <v>1107</v>
      </c>
      <c r="Q64">
        <v>1</v>
      </c>
      <c r="R64">
        <v>120000</v>
      </c>
      <c r="S64" t="s">
        <v>27</v>
      </c>
      <c r="T64">
        <v>120.24189768700001</v>
      </c>
      <c r="U64">
        <v>120.349081473</v>
      </c>
      <c r="V64">
        <v>27</v>
      </c>
      <c r="W64">
        <v>49</v>
      </c>
      <c r="X64">
        <v>0</v>
      </c>
      <c r="Y64">
        <v>2147483647</v>
      </c>
      <c r="AC64">
        <f>U64/U65</f>
        <v>1.0008249457253207</v>
      </c>
      <c r="AD64">
        <f t="shared" ref="AD64" si="29">I64-I65</f>
        <v>-152</v>
      </c>
    </row>
    <row r="65" spans="1:30" x14ac:dyDescent="0.25">
      <c r="A65">
        <v>0.11546548100000099</v>
      </c>
      <c r="B65">
        <v>6.5949137148047203</v>
      </c>
      <c r="C65">
        <v>19.888889312744102</v>
      </c>
      <c r="D65">
        <v>4862</v>
      </c>
      <c r="E65">
        <v>33</v>
      </c>
      <c r="G65" t="s">
        <v>25</v>
      </c>
      <c r="H65">
        <v>31</v>
      </c>
      <c r="I65">
        <v>1309</v>
      </c>
      <c r="J65">
        <v>19658</v>
      </c>
      <c r="K65">
        <v>37</v>
      </c>
      <c r="L65" t="s">
        <v>59</v>
      </c>
      <c r="M65">
        <v>3885</v>
      </c>
      <c r="N65">
        <v>7261</v>
      </c>
      <c r="O65">
        <v>3885</v>
      </c>
      <c r="P65">
        <v>1264</v>
      </c>
      <c r="Q65">
        <v>1</v>
      </c>
      <c r="R65">
        <v>120000</v>
      </c>
      <c r="S65" t="s">
        <v>28</v>
      </c>
      <c r="T65">
        <v>120.134416954</v>
      </c>
      <c r="U65">
        <v>120.249881847</v>
      </c>
      <c r="V65">
        <v>27</v>
      </c>
      <c r="W65">
        <v>44</v>
      </c>
      <c r="X65">
        <v>0</v>
      </c>
      <c r="Y65">
        <v>2147483647</v>
      </c>
    </row>
    <row r="66" spans="1:30" x14ac:dyDescent="0.25">
      <c r="A66">
        <v>2.27672939999999E-2</v>
      </c>
      <c r="B66">
        <v>4.77858880778588</v>
      </c>
      <c r="C66">
        <v>20.049999237060501</v>
      </c>
      <c r="D66">
        <v>2616</v>
      </c>
      <c r="E66">
        <v>33</v>
      </c>
      <c r="F66">
        <v>6305</v>
      </c>
      <c r="G66" t="s">
        <v>25</v>
      </c>
      <c r="H66">
        <v>32</v>
      </c>
      <c r="I66">
        <v>359</v>
      </c>
      <c r="J66">
        <v>6305</v>
      </c>
      <c r="K66">
        <v>19</v>
      </c>
      <c r="L66" t="s">
        <v>60</v>
      </c>
      <c r="M66">
        <v>2768</v>
      </c>
      <c r="N66">
        <v>3928</v>
      </c>
      <c r="O66">
        <v>2768</v>
      </c>
      <c r="P66">
        <v>172</v>
      </c>
      <c r="Q66">
        <v>1</v>
      </c>
      <c r="R66">
        <v>440.90023600000001</v>
      </c>
      <c r="S66" t="s">
        <v>27</v>
      </c>
      <c r="T66">
        <v>0.41770064499999998</v>
      </c>
      <c r="U66">
        <v>0.44046717699999999</v>
      </c>
      <c r="V66">
        <v>20</v>
      </c>
      <c r="W66">
        <v>116</v>
      </c>
      <c r="X66">
        <v>69</v>
      </c>
      <c r="Y66">
        <v>6305</v>
      </c>
      <c r="AC66">
        <f>U66/U67</f>
        <v>0.70922688302932835</v>
      </c>
      <c r="AD66">
        <f t="shared" ref="AD66" si="30">I66-I67</f>
        <v>-3</v>
      </c>
    </row>
    <row r="67" spans="1:30" x14ac:dyDescent="0.25">
      <c r="A67">
        <v>2.3546063999999998E-2</v>
      </c>
      <c r="B67">
        <v>5.1362530413625302</v>
      </c>
      <c r="C67">
        <v>20.049999237060501</v>
      </c>
      <c r="D67">
        <v>2616</v>
      </c>
      <c r="E67">
        <v>33</v>
      </c>
      <c r="F67">
        <v>6305</v>
      </c>
      <c r="G67" t="s">
        <v>25</v>
      </c>
      <c r="H67">
        <v>32</v>
      </c>
      <c r="I67">
        <v>362</v>
      </c>
      <c r="J67">
        <v>6305</v>
      </c>
      <c r="K67">
        <v>20</v>
      </c>
      <c r="L67" t="s">
        <v>60</v>
      </c>
      <c r="M67">
        <v>2580</v>
      </c>
      <c r="N67">
        <v>4222</v>
      </c>
      <c r="O67">
        <v>2580</v>
      </c>
      <c r="P67">
        <v>200</v>
      </c>
      <c r="Q67">
        <v>2</v>
      </c>
      <c r="R67">
        <v>621.82540600000004</v>
      </c>
      <c r="S67" t="s">
        <v>28</v>
      </c>
      <c r="T67">
        <v>0.59750730200000002</v>
      </c>
      <c r="U67">
        <v>0.62105256799999997</v>
      </c>
      <c r="V67">
        <v>20</v>
      </c>
      <c r="W67">
        <v>101</v>
      </c>
      <c r="X67">
        <v>58</v>
      </c>
      <c r="Y67">
        <v>6305</v>
      </c>
    </row>
    <row r="68" spans="1:30" x14ac:dyDescent="0.25">
      <c r="A68">
        <v>6.9460219999999996E-3</v>
      </c>
      <c r="B68">
        <v>2.8740157480314901</v>
      </c>
      <c r="C68">
        <v>18.176469802856399</v>
      </c>
      <c r="D68">
        <v>1632</v>
      </c>
      <c r="E68">
        <v>33</v>
      </c>
      <c r="F68">
        <v>4812</v>
      </c>
      <c r="G68" t="s">
        <v>25</v>
      </c>
      <c r="H68">
        <v>33</v>
      </c>
      <c r="I68">
        <v>153</v>
      </c>
      <c r="J68">
        <v>4812</v>
      </c>
      <c r="K68">
        <v>15</v>
      </c>
      <c r="L68" t="s">
        <v>61</v>
      </c>
      <c r="M68">
        <v>1065</v>
      </c>
      <c r="N68">
        <v>1825</v>
      </c>
      <c r="O68">
        <v>1065</v>
      </c>
      <c r="P68">
        <v>54</v>
      </c>
      <c r="Q68">
        <v>1</v>
      </c>
      <c r="R68">
        <v>19.062628</v>
      </c>
      <c r="S68" t="s">
        <v>27</v>
      </c>
      <c r="T68">
        <v>1.1964832999999999E-2</v>
      </c>
      <c r="U68">
        <v>1.8910079E-2</v>
      </c>
      <c r="V68">
        <v>17</v>
      </c>
      <c r="W68">
        <v>43</v>
      </c>
      <c r="X68">
        <v>54</v>
      </c>
      <c r="Y68">
        <v>4812</v>
      </c>
      <c r="AC68">
        <f>U68/U69</f>
        <v>0.91370293066453945</v>
      </c>
      <c r="AD68">
        <f t="shared" ref="AD68" si="31">I68-I69</f>
        <v>-13</v>
      </c>
    </row>
    <row r="69" spans="1:30" x14ac:dyDescent="0.25">
      <c r="A69">
        <v>7.1167509999999897E-3</v>
      </c>
      <c r="B69">
        <v>3.0535433070866098</v>
      </c>
      <c r="C69">
        <v>18.176469802856399</v>
      </c>
      <c r="D69">
        <v>1632</v>
      </c>
      <c r="E69">
        <v>33</v>
      </c>
      <c r="F69">
        <v>4812</v>
      </c>
      <c r="G69" t="s">
        <v>25</v>
      </c>
      <c r="H69">
        <v>33</v>
      </c>
      <c r="I69">
        <v>166</v>
      </c>
      <c r="J69">
        <v>4812</v>
      </c>
      <c r="K69">
        <v>16</v>
      </c>
      <c r="L69" t="s">
        <v>61</v>
      </c>
      <c r="M69">
        <v>973</v>
      </c>
      <c r="N69">
        <v>1939</v>
      </c>
      <c r="O69">
        <v>973</v>
      </c>
      <c r="P69">
        <v>72</v>
      </c>
      <c r="Q69">
        <v>1</v>
      </c>
      <c r="R69">
        <v>20.874033000000001</v>
      </c>
      <c r="S69" t="s">
        <v>28</v>
      </c>
      <c r="T69">
        <v>1.3579948E-2</v>
      </c>
      <c r="U69">
        <v>2.0696091E-2</v>
      </c>
      <c r="V69">
        <v>17</v>
      </c>
      <c r="W69">
        <v>42</v>
      </c>
      <c r="X69">
        <v>50</v>
      </c>
      <c r="Y69">
        <v>4812</v>
      </c>
    </row>
    <row r="70" spans="1:30" x14ac:dyDescent="0.25">
      <c r="A70">
        <v>0.123559198999998</v>
      </c>
      <c r="B70">
        <v>6.3097781429745199</v>
      </c>
      <c r="C70">
        <v>20.482759475708001</v>
      </c>
      <c r="D70">
        <v>6144</v>
      </c>
      <c r="E70">
        <v>33</v>
      </c>
      <c r="G70" t="s">
        <v>25</v>
      </c>
      <c r="H70">
        <v>34</v>
      </c>
      <c r="I70">
        <v>1389</v>
      </c>
      <c r="J70">
        <v>7225</v>
      </c>
      <c r="K70">
        <v>67</v>
      </c>
      <c r="L70" t="s">
        <v>62</v>
      </c>
      <c r="M70">
        <v>5296</v>
      </c>
      <c r="N70">
        <v>7679</v>
      </c>
      <c r="O70">
        <v>5296</v>
      </c>
      <c r="P70">
        <v>1332</v>
      </c>
      <c r="Q70">
        <v>1</v>
      </c>
      <c r="R70">
        <v>120000</v>
      </c>
      <c r="S70" t="s">
        <v>27</v>
      </c>
      <c r="T70">
        <v>120.012611087</v>
      </c>
      <c r="U70">
        <v>120.136169626</v>
      </c>
      <c r="V70">
        <v>29</v>
      </c>
      <c r="W70">
        <v>56</v>
      </c>
      <c r="X70">
        <v>0</v>
      </c>
      <c r="Y70">
        <v>2147483647</v>
      </c>
      <c r="AC70">
        <f>U70/U71</f>
        <v>0.99780771569016113</v>
      </c>
      <c r="AD70">
        <f t="shared" ref="AD70" si="32">I70-I71</f>
        <v>274</v>
      </c>
    </row>
    <row r="71" spans="1:30" x14ac:dyDescent="0.25">
      <c r="A71">
        <v>0.10978451300000799</v>
      </c>
      <c r="B71">
        <v>7.2958093672966298</v>
      </c>
      <c r="C71">
        <v>20.482759475708001</v>
      </c>
      <c r="D71">
        <v>6144</v>
      </c>
      <c r="E71">
        <v>33</v>
      </c>
      <c r="G71" t="s">
        <v>25</v>
      </c>
      <c r="H71">
        <v>34</v>
      </c>
      <c r="I71">
        <v>1115</v>
      </c>
      <c r="J71">
        <v>6138</v>
      </c>
      <c r="K71">
        <v>74</v>
      </c>
      <c r="L71" t="s">
        <v>62</v>
      </c>
      <c r="M71">
        <v>4467</v>
      </c>
      <c r="N71">
        <v>8879</v>
      </c>
      <c r="O71">
        <v>4467</v>
      </c>
      <c r="P71">
        <v>1069</v>
      </c>
      <c r="Q71">
        <v>1</v>
      </c>
      <c r="R71">
        <v>120000</v>
      </c>
      <c r="S71" t="s">
        <v>28</v>
      </c>
      <c r="T71">
        <v>120.290337157</v>
      </c>
      <c r="U71">
        <v>120.400120922</v>
      </c>
      <c r="V71">
        <v>29</v>
      </c>
      <c r="W71">
        <v>45</v>
      </c>
      <c r="X71">
        <v>0</v>
      </c>
      <c r="Y71">
        <v>2147483647</v>
      </c>
    </row>
    <row r="72" spans="1:30" x14ac:dyDescent="0.25">
      <c r="A72">
        <v>0.121157217000003</v>
      </c>
      <c r="B72">
        <v>6.3641479099678397</v>
      </c>
      <c r="C72">
        <v>21.714284896850501</v>
      </c>
      <c r="D72">
        <v>6393</v>
      </c>
      <c r="E72">
        <v>33</v>
      </c>
      <c r="G72" t="s">
        <v>25</v>
      </c>
      <c r="H72">
        <v>35</v>
      </c>
      <c r="I72">
        <v>1241</v>
      </c>
      <c r="J72">
        <v>8242</v>
      </c>
      <c r="K72">
        <v>67</v>
      </c>
      <c r="L72" t="s">
        <v>63</v>
      </c>
      <c r="M72">
        <v>5584</v>
      </c>
      <c r="N72">
        <v>7917</v>
      </c>
      <c r="O72">
        <v>5584</v>
      </c>
      <c r="P72">
        <v>1188</v>
      </c>
      <c r="Q72">
        <v>1</v>
      </c>
      <c r="R72">
        <v>120000</v>
      </c>
      <c r="S72" t="s">
        <v>27</v>
      </c>
      <c r="T72">
        <v>120.403181132</v>
      </c>
      <c r="U72">
        <v>120.524337843</v>
      </c>
      <c r="V72">
        <v>28</v>
      </c>
      <c r="W72">
        <v>52</v>
      </c>
      <c r="X72">
        <v>0</v>
      </c>
      <c r="Y72">
        <v>2147483647</v>
      </c>
      <c r="AC72">
        <f>U72/U73</f>
        <v>1.0016758314062504</v>
      </c>
      <c r="AD72">
        <f t="shared" ref="AD72" si="33">I72-I73</f>
        <v>199</v>
      </c>
    </row>
    <row r="73" spans="1:30" x14ac:dyDescent="0.25">
      <c r="A73">
        <v>0.10971245799998899</v>
      </c>
      <c r="B73">
        <v>8.17524115755627</v>
      </c>
      <c r="C73">
        <v>21.714284896850501</v>
      </c>
      <c r="D73">
        <v>6393</v>
      </c>
      <c r="E73">
        <v>33</v>
      </c>
      <c r="G73" t="s">
        <v>25</v>
      </c>
      <c r="H73">
        <v>35</v>
      </c>
      <c r="I73">
        <v>1042</v>
      </c>
      <c r="J73">
        <v>8086</v>
      </c>
      <c r="K73">
        <v>74</v>
      </c>
      <c r="L73" t="s">
        <v>63</v>
      </c>
      <c r="M73">
        <v>5351</v>
      </c>
      <c r="N73">
        <v>10170</v>
      </c>
      <c r="O73">
        <v>5351</v>
      </c>
      <c r="P73">
        <v>993</v>
      </c>
      <c r="Q73">
        <v>1</v>
      </c>
      <c r="R73">
        <v>120000</v>
      </c>
      <c r="S73" t="s">
        <v>28</v>
      </c>
      <c r="T73">
        <v>120.21298546600001</v>
      </c>
      <c r="U73">
        <v>120.322697288</v>
      </c>
      <c r="V73">
        <v>28</v>
      </c>
      <c r="W73">
        <v>48</v>
      </c>
      <c r="X73">
        <v>0</v>
      </c>
      <c r="Y73">
        <v>2147483647</v>
      </c>
    </row>
    <row r="74" spans="1:30" x14ac:dyDescent="0.25">
      <c r="A74">
        <v>4.9778309999999899E-3</v>
      </c>
      <c r="B74">
        <v>3.0046728971962602</v>
      </c>
      <c r="C74">
        <v>17.3333339691162</v>
      </c>
      <c r="D74">
        <v>2022</v>
      </c>
      <c r="E74">
        <v>25</v>
      </c>
      <c r="F74">
        <v>1507</v>
      </c>
      <c r="G74" t="s">
        <v>25</v>
      </c>
      <c r="H74">
        <v>36</v>
      </c>
      <c r="I74">
        <v>126</v>
      </c>
      <c r="J74">
        <v>1507</v>
      </c>
      <c r="K74">
        <v>17</v>
      </c>
      <c r="L74" t="s">
        <v>64</v>
      </c>
      <c r="M74">
        <v>1169</v>
      </c>
      <c r="N74">
        <v>1929</v>
      </c>
      <c r="O74">
        <v>1169</v>
      </c>
      <c r="P74">
        <v>51</v>
      </c>
      <c r="Q74">
        <v>1</v>
      </c>
      <c r="R74">
        <v>11.91324</v>
      </c>
      <c r="S74" t="s">
        <v>27</v>
      </c>
      <c r="T74">
        <v>6.8299509999999999E-3</v>
      </c>
      <c r="U74">
        <v>1.1807224999999999E-2</v>
      </c>
      <c r="V74">
        <v>18</v>
      </c>
      <c r="W74">
        <v>42</v>
      </c>
      <c r="X74">
        <v>31</v>
      </c>
      <c r="Y74">
        <v>1507</v>
      </c>
      <c r="AC74">
        <f>U74/U75</f>
        <v>1.1771317772267473</v>
      </c>
      <c r="AD74">
        <f t="shared" ref="AD74" si="34">I74-I75</f>
        <v>10</v>
      </c>
    </row>
    <row r="75" spans="1:30" x14ac:dyDescent="0.25">
      <c r="A75">
        <v>5.00427399999999E-3</v>
      </c>
      <c r="B75">
        <v>3.1043613707165099</v>
      </c>
      <c r="C75">
        <v>17.3333339691162</v>
      </c>
      <c r="D75">
        <v>2022</v>
      </c>
      <c r="E75">
        <v>25</v>
      </c>
      <c r="F75">
        <v>1507</v>
      </c>
      <c r="G75" t="s">
        <v>25</v>
      </c>
      <c r="H75">
        <v>36</v>
      </c>
      <c r="I75">
        <v>116</v>
      </c>
      <c r="J75">
        <v>1507</v>
      </c>
      <c r="K75">
        <v>14</v>
      </c>
      <c r="L75" t="s">
        <v>64</v>
      </c>
      <c r="M75">
        <v>1065</v>
      </c>
      <c r="N75">
        <v>1993</v>
      </c>
      <c r="O75">
        <v>1065</v>
      </c>
      <c r="P75">
        <v>41</v>
      </c>
      <c r="Q75">
        <v>1</v>
      </c>
      <c r="R75">
        <v>10.134112</v>
      </c>
      <c r="S75" t="s">
        <v>28</v>
      </c>
      <c r="T75">
        <v>5.0266870000000002E-3</v>
      </c>
      <c r="U75">
        <v>1.0030504000000001E-2</v>
      </c>
      <c r="V75">
        <v>18</v>
      </c>
      <c r="W75">
        <v>34</v>
      </c>
      <c r="X75">
        <v>39</v>
      </c>
      <c r="Y75">
        <v>1507</v>
      </c>
    </row>
    <row r="76" spans="1:30" x14ac:dyDescent="0.25">
      <c r="A76">
        <v>1.010592E-3</v>
      </c>
      <c r="B76">
        <v>1.97385620915032</v>
      </c>
      <c r="C76">
        <v>14.800000190734799</v>
      </c>
      <c r="D76">
        <v>87</v>
      </c>
      <c r="E76">
        <v>25</v>
      </c>
      <c r="F76">
        <v>4404</v>
      </c>
      <c r="G76" t="s">
        <v>25</v>
      </c>
      <c r="H76">
        <v>37</v>
      </c>
      <c r="I76">
        <v>60</v>
      </c>
      <c r="J76">
        <v>4404</v>
      </c>
      <c r="K76">
        <v>7</v>
      </c>
      <c r="L76" t="s">
        <v>65</v>
      </c>
      <c r="M76">
        <v>130</v>
      </c>
      <c r="N76">
        <v>302</v>
      </c>
      <c r="O76">
        <v>130</v>
      </c>
      <c r="P76">
        <v>7</v>
      </c>
      <c r="Q76">
        <v>2</v>
      </c>
      <c r="R76">
        <v>1.2218290000000001</v>
      </c>
      <c r="S76" t="s">
        <v>27</v>
      </c>
      <c r="T76">
        <v>1.8818E-4</v>
      </c>
      <c r="U76">
        <v>1.198296E-3</v>
      </c>
      <c r="V76">
        <v>5</v>
      </c>
      <c r="W76">
        <v>5</v>
      </c>
      <c r="X76">
        <v>45</v>
      </c>
      <c r="Y76">
        <v>4404</v>
      </c>
      <c r="AC76">
        <f>U76/U77</f>
        <v>1.0533470228760697</v>
      </c>
      <c r="AD76">
        <f t="shared" ref="AD76" si="35">I76-I77</f>
        <v>3</v>
      </c>
    </row>
    <row r="77" spans="1:30" x14ac:dyDescent="0.25">
      <c r="A77">
        <v>9.8906699999999994E-4</v>
      </c>
      <c r="B77">
        <v>2</v>
      </c>
      <c r="C77">
        <v>14.800000190734799</v>
      </c>
      <c r="D77">
        <v>87</v>
      </c>
      <c r="E77">
        <v>25</v>
      </c>
      <c r="F77">
        <v>4404</v>
      </c>
      <c r="G77" t="s">
        <v>25</v>
      </c>
      <c r="H77">
        <v>37</v>
      </c>
      <c r="I77">
        <v>57</v>
      </c>
      <c r="J77">
        <v>4404</v>
      </c>
      <c r="K77">
        <v>6</v>
      </c>
      <c r="L77" t="s">
        <v>65</v>
      </c>
      <c r="M77">
        <v>109</v>
      </c>
      <c r="N77">
        <v>306</v>
      </c>
      <c r="O77">
        <v>109</v>
      </c>
      <c r="P77">
        <v>7</v>
      </c>
      <c r="Q77">
        <v>2</v>
      </c>
      <c r="R77">
        <v>1.1914100000000001</v>
      </c>
      <c r="S77" t="s">
        <v>28</v>
      </c>
      <c r="T77">
        <v>1.4900300000000001E-4</v>
      </c>
      <c r="U77">
        <v>1.137608E-3</v>
      </c>
      <c r="V77">
        <v>5</v>
      </c>
      <c r="W77">
        <v>4</v>
      </c>
      <c r="X77">
        <v>43</v>
      </c>
      <c r="Y77">
        <v>4404</v>
      </c>
    </row>
    <row r="78" spans="1:30" x14ac:dyDescent="0.25">
      <c r="A78">
        <v>2.4325050000000002E-3</v>
      </c>
      <c r="B78">
        <v>2.88439306358381</v>
      </c>
      <c r="C78">
        <v>16.799999237060501</v>
      </c>
      <c r="D78">
        <v>136</v>
      </c>
      <c r="E78">
        <v>20</v>
      </c>
      <c r="F78">
        <v>596</v>
      </c>
      <c r="G78" t="s">
        <v>25</v>
      </c>
      <c r="H78">
        <v>38</v>
      </c>
      <c r="I78">
        <v>73</v>
      </c>
      <c r="J78">
        <v>596</v>
      </c>
      <c r="K78">
        <v>8</v>
      </c>
      <c r="L78" t="s">
        <v>66</v>
      </c>
      <c r="M78">
        <v>277</v>
      </c>
      <c r="N78">
        <v>499</v>
      </c>
      <c r="O78">
        <v>277</v>
      </c>
      <c r="P78">
        <v>6</v>
      </c>
      <c r="Q78">
        <v>1</v>
      </c>
      <c r="R78">
        <v>3.1467969999999998</v>
      </c>
      <c r="S78" t="s">
        <v>27</v>
      </c>
      <c r="T78">
        <v>6.8535500000000001E-4</v>
      </c>
      <c r="U78">
        <v>3.1173889999999999E-3</v>
      </c>
      <c r="V78">
        <v>5</v>
      </c>
      <c r="W78">
        <v>22</v>
      </c>
      <c r="X78">
        <v>43</v>
      </c>
      <c r="Y78">
        <v>596</v>
      </c>
      <c r="AC78">
        <f>U78/U79</f>
        <v>1.1814176379522376</v>
      </c>
      <c r="AD78">
        <f t="shared" ref="AD78" si="36">I78-I79</f>
        <v>3</v>
      </c>
    </row>
    <row r="79" spans="1:30" x14ac:dyDescent="0.25">
      <c r="A79">
        <v>2.1411429999999999E-3</v>
      </c>
      <c r="B79">
        <v>2.9306358381502799</v>
      </c>
      <c r="C79">
        <v>16.799999237060501</v>
      </c>
      <c r="D79">
        <v>136</v>
      </c>
      <c r="E79">
        <v>20</v>
      </c>
      <c r="F79">
        <v>596</v>
      </c>
      <c r="G79" t="s">
        <v>25</v>
      </c>
      <c r="H79">
        <v>38</v>
      </c>
      <c r="I79">
        <v>70</v>
      </c>
      <c r="J79">
        <v>596</v>
      </c>
      <c r="K79">
        <v>9</v>
      </c>
      <c r="L79" t="s">
        <v>66</v>
      </c>
      <c r="M79">
        <v>244</v>
      </c>
      <c r="N79">
        <v>507</v>
      </c>
      <c r="O79">
        <v>244</v>
      </c>
      <c r="P79">
        <v>6</v>
      </c>
      <c r="Q79">
        <v>1</v>
      </c>
      <c r="R79">
        <v>2.6810999999999998</v>
      </c>
      <c r="S79" t="s">
        <v>28</v>
      </c>
      <c r="T79">
        <v>4.97954E-4</v>
      </c>
      <c r="U79">
        <v>2.638685E-3</v>
      </c>
      <c r="V79">
        <v>5</v>
      </c>
      <c r="W79">
        <v>17</v>
      </c>
      <c r="X79">
        <v>45</v>
      </c>
      <c r="Y79">
        <v>596</v>
      </c>
    </row>
    <row r="80" spans="1:30" x14ac:dyDescent="0.25">
      <c r="A80">
        <v>9.0855626999996206E-2</v>
      </c>
      <c r="B80">
        <v>5.6732522796352498</v>
      </c>
      <c r="C80">
        <v>15.949999809265099</v>
      </c>
      <c r="D80">
        <v>2246</v>
      </c>
      <c r="E80">
        <v>25</v>
      </c>
      <c r="F80">
        <v>60558</v>
      </c>
      <c r="G80" t="s">
        <v>25</v>
      </c>
      <c r="H80">
        <v>39</v>
      </c>
      <c r="I80">
        <v>947</v>
      </c>
      <c r="J80">
        <v>60558</v>
      </c>
      <c r="K80">
        <v>35</v>
      </c>
      <c r="L80" t="s">
        <v>67</v>
      </c>
      <c r="M80">
        <v>2729</v>
      </c>
      <c r="N80">
        <v>3733</v>
      </c>
      <c r="O80">
        <v>2729</v>
      </c>
      <c r="P80">
        <v>720</v>
      </c>
      <c r="Q80">
        <v>1</v>
      </c>
      <c r="R80">
        <v>76508.006452999995</v>
      </c>
      <c r="S80" t="s">
        <v>27</v>
      </c>
      <c r="T80">
        <v>74.702099150999999</v>
      </c>
      <c r="U80">
        <v>74.792953898999997</v>
      </c>
      <c r="V80">
        <v>20</v>
      </c>
      <c r="W80">
        <v>131</v>
      </c>
      <c r="X80">
        <v>94</v>
      </c>
      <c r="Y80">
        <v>60558</v>
      </c>
      <c r="AC80">
        <f>U80/U81</f>
        <v>1.7754155812001393</v>
      </c>
      <c r="AD80">
        <f t="shared" ref="AD80" si="37">I80-I81</f>
        <v>158</v>
      </c>
    </row>
    <row r="81" spans="1:30" x14ac:dyDescent="0.25">
      <c r="A81">
        <v>7.3763503999998606E-2</v>
      </c>
      <c r="B81">
        <v>6.8920972644376901</v>
      </c>
      <c r="C81">
        <v>15.949999809265099</v>
      </c>
      <c r="D81">
        <v>2246</v>
      </c>
      <c r="E81">
        <v>25</v>
      </c>
      <c r="F81">
        <v>60558</v>
      </c>
      <c r="G81" t="s">
        <v>25</v>
      </c>
      <c r="H81">
        <v>39</v>
      </c>
      <c r="I81">
        <v>789</v>
      </c>
      <c r="J81">
        <v>60558</v>
      </c>
      <c r="K81">
        <v>41</v>
      </c>
      <c r="L81" t="s">
        <v>67</v>
      </c>
      <c r="M81">
        <v>2958</v>
      </c>
      <c r="N81">
        <v>4535</v>
      </c>
      <c r="O81">
        <v>2958</v>
      </c>
      <c r="P81">
        <v>574</v>
      </c>
      <c r="Q81">
        <v>2</v>
      </c>
      <c r="R81">
        <v>42701.887506999999</v>
      </c>
      <c r="S81" t="s">
        <v>28</v>
      </c>
      <c r="T81">
        <v>42.053249336</v>
      </c>
      <c r="U81">
        <v>42.127012227999998</v>
      </c>
      <c r="V81">
        <v>20</v>
      </c>
      <c r="W81">
        <v>131</v>
      </c>
      <c r="X81">
        <v>81</v>
      </c>
      <c r="Y81">
        <v>60558</v>
      </c>
    </row>
    <row r="82" spans="1:30" x14ac:dyDescent="0.25">
      <c r="A82">
        <v>2.1567419999999901E-3</v>
      </c>
      <c r="B82">
        <v>4.2950819672131102</v>
      </c>
      <c r="C82">
        <v>17.799999237060501</v>
      </c>
      <c r="D82">
        <v>136</v>
      </c>
      <c r="E82">
        <v>25</v>
      </c>
      <c r="F82">
        <v>1662</v>
      </c>
      <c r="G82" t="s">
        <v>25</v>
      </c>
      <c r="H82">
        <v>40</v>
      </c>
      <c r="I82">
        <v>100</v>
      </c>
      <c r="J82">
        <v>1662</v>
      </c>
      <c r="K82">
        <v>11</v>
      </c>
      <c r="L82" t="s">
        <v>68</v>
      </c>
      <c r="M82">
        <v>538</v>
      </c>
      <c r="N82">
        <v>786</v>
      </c>
      <c r="O82">
        <v>538</v>
      </c>
      <c r="P82">
        <v>19</v>
      </c>
      <c r="Q82">
        <v>1</v>
      </c>
      <c r="R82">
        <v>3.3900190000000001</v>
      </c>
      <c r="S82" t="s">
        <v>27</v>
      </c>
      <c r="T82">
        <v>1.1853740000000001E-3</v>
      </c>
      <c r="U82">
        <v>3.3416100000000001E-3</v>
      </c>
      <c r="V82">
        <v>5</v>
      </c>
      <c r="W82">
        <v>34</v>
      </c>
      <c r="X82">
        <v>45</v>
      </c>
      <c r="Y82">
        <v>1662</v>
      </c>
      <c r="AC82">
        <f>U82/U83</f>
        <v>1.1921778014988516</v>
      </c>
      <c r="AD82">
        <f t="shared" ref="AD82" si="38">I82-I83</f>
        <v>12</v>
      </c>
    </row>
    <row r="83" spans="1:30" x14ac:dyDescent="0.25">
      <c r="A83">
        <v>1.951216E-3</v>
      </c>
      <c r="B83">
        <v>4.6666666666666599</v>
      </c>
      <c r="C83">
        <v>17.799999237060501</v>
      </c>
      <c r="D83">
        <v>136</v>
      </c>
      <c r="E83">
        <v>25</v>
      </c>
      <c r="F83">
        <v>1662</v>
      </c>
      <c r="G83" t="s">
        <v>25</v>
      </c>
      <c r="H83">
        <v>40</v>
      </c>
      <c r="I83">
        <v>88</v>
      </c>
      <c r="J83">
        <v>1662</v>
      </c>
      <c r="K83">
        <v>15</v>
      </c>
      <c r="L83" t="s">
        <v>68</v>
      </c>
      <c r="M83">
        <v>525</v>
      </c>
      <c r="N83">
        <v>854</v>
      </c>
      <c r="O83">
        <v>525</v>
      </c>
      <c r="P83">
        <v>18</v>
      </c>
      <c r="Q83">
        <v>1</v>
      </c>
      <c r="R83">
        <v>2.8309839999999999</v>
      </c>
      <c r="S83" t="s">
        <v>28</v>
      </c>
      <c r="T83">
        <v>8.5211900000000003E-4</v>
      </c>
      <c r="U83">
        <v>2.8029460000000002E-3</v>
      </c>
      <c r="V83">
        <v>5</v>
      </c>
      <c r="W83">
        <v>33</v>
      </c>
      <c r="X83">
        <v>35</v>
      </c>
      <c r="Y83">
        <v>1662</v>
      </c>
    </row>
    <row r="84" spans="1:30" x14ac:dyDescent="0.25">
      <c r="A84">
        <v>1.7460609999999999E-3</v>
      </c>
      <c r="B84">
        <v>1.7070063694267501</v>
      </c>
      <c r="C84">
        <v>15.199999809265099</v>
      </c>
      <c r="D84">
        <v>93</v>
      </c>
      <c r="E84">
        <v>25</v>
      </c>
      <c r="F84">
        <v>209</v>
      </c>
      <c r="G84" t="s">
        <v>25</v>
      </c>
      <c r="H84">
        <v>41</v>
      </c>
      <c r="I84">
        <v>52</v>
      </c>
      <c r="J84">
        <v>209</v>
      </c>
      <c r="K84">
        <v>4</v>
      </c>
      <c r="L84" t="s">
        <v>69</v>
      </c>
      <c r="M84">
        <v>105</v>
      </c>
      <c r="N84">
        <v>268</v>
      </c>
      <c r="O84">
        <v>105</v>
      </c>
      <c r="P84">
        <v>3</v>
      </c>
      <c r="Q84">
        <v>1</v>
      </c>
      <c r="R84">
        <v>2.0447220000000002</v>
      </c>
      <c r="S84" t="s">
        <v>27</v>
      </c>
      <c r="T84">
        <v>2.8437900000000002E-4</v>
      </c>
      <c r="U84">
        <v>2.0299160000000001E-3</v>
      </c>
      <c r="V84">
        <v>5</v>
      </c>
      <c r="W84">
        <v>1</v>
      </c>
      <c r="X84">
        <v>46</v>
      </c>
      <c r="Y84">
        <v>209</v>
      </c>
      <c r="AC84">
        <f>U84/U85</f>
        <v>0.97602391790289456</v>
      </c>
      <c r="AD84">
        <f t="shared" ref="AD84" si="39">I84-I85</f>
        <v>10</v>
      </c>
    </row>
    <row r="85" spans="1:30" x14ac:dyDescent="0.25">
      <c r="A85">
        <v>1.811974E-3</v>
      </c>
      <c r="B85">
        <v>1.7070063694267501</v>
      </c>
      <c r="C85">
        <v>15.199999809265099</v>
      </c>
      <c r="D85">
        <v>93</v>
      </c>
      <c r="E85">
        <v>25</v>
      </c>
      <c r="F85">
        <v>209</v>
      </c>
      <c r="G85" t="s">
        <v>25</v>
      </c>
      <c r="H85">
        <v>41</v>
      </c>
      <c r="I85">
        <v>42</v>
      </c>
      <c r="J85">
        <v>209</v>
      </c>
      <c r="K85">
        <v>4</v>
      </c>
      <c r="L85" t="s">
        <v>69</v>
      </c>
      <c r="M85">
        <v>95</v>
      </c>
      <c r="N85">
        <v>268</v>
      </c>
      <c r="O85">
        <v>95</v>
      </c>
      <c r="P85">
        <v>3</v>
      </c>
      <c r="Q85">
        <v>1</v>
      </c>
      <c r="R85">
        <v>2.215522</v>
      </c>
      <c r="S85" t="s">
        <v>28</v>
      </c>
      <c r="T85">
        <v>2.68399E-4</v>
      </c>
      <c r="U85">
        <v>2.0797810000000002E-3</v>
      </c>
      <c r="V85">
        <v>5</v>
      </c>
      <c r="W85">
        <v>1</v>
      </c>
      <c r="X85">
        <v>36</v>
      </c>
      <c r="Y85">
        <v>209</v>
      </c>
    </row>
    <row r="86" spans="1:30" x14ac:dyDescent="0.25">
      <c r="A86">
        <v>1.5775722999999998E-2</v>
      </c>
      <c r="B86">
        <v>3.88095238095238</v>
      </c>
      <c r="C86">
        <v>15.25</v>
      </c>
      <c r="D86">
        <v>2865</v>
      </c>
      <c r="E86">
        <v>25</v>
      </c>
      <c r="F86">
        <v>56119</v>
      </c>
      <c r="G86" t="s">
        <v>25</v>
      </c>
      <c r="H86">
        <v>42</v>
      </c>
      <c r="I86">
        <v>243</v>
      </c>
      <c r="J86">
        <v>56119</v>
      </c>
      <c r="K86">
        <v>19</v>
      </c>
      <c r="L86" t="s">
        <v>70</v>
      </c>
      <c r="M86">
        <v>1915</v>
      </c>
      <c r="N86">
        <v>2934</v>
      </c>
      <c r="O86">
        <v>1915</v>
      </c>
      <c r="P86">
        <v>100</v>
      </c>
      <c r="Q86">
        <v>1</v>
      </c>
      <c r="R86">
        <v>121.18042699999999</v>
      </c>
      <c r="S86" t="s">
        <v>27</v>
      </c>
      <c r="T86">
        <v>0.105158353</v>
      </c>
      <c r="U86">
        <v>0.120933502</v>
      </c>
      <c r="V86">
        <v>24</v>
      </c>
      <c r="W86">
        <v>77</v>
      </c>
      <c r="X86">
        <v>64</v>
      </c>
      <c r="Y86">
        <v>56119</v>
      </c>
      <c r="AC86">
        <f>U86/U87</f>
        <v>1.4296136512718731</v>
      </c>
      <c r="AD86">
        <f t="shared" ref="AD86" si="40">I86-I87</f>
        <v>27</v>
      </c>
    </row>
    <row r="87" spans="1:30" x14ac:dyDescent="0.25">
      <c r="A87">
        <v>1.49191699999999E-2</v>
      </c>
      <c r="B87">
        <v>4.2248677248677202</v>
      </c>
      <c r="C87">
        <v>15.25</v>
      </c>
      <c r="D87">
        <v>2865</v>
      </c>
      <c r="E87">
        <v>25</v>
      </c>
      <c r="F87">
        <v>56119</v>
      </c>
      <c r="G87" t="s">
        <v>25</v>
      </c>
      <c r="H87">
        <v>42</v>
      </c>
      <c r="I87">
        <v>216</v>
      </c>
      <c r="J87">
        <v>56119</v>
      </c>
      <c r="K87">
        <v>21</v>
      </c>
      <c r="L87" t="s">
        <v>70</v>
      </c>
      <c r="M87">
        <v>1808</v>
      </c>
      <c r="N87">
        <v>3194</v>
      </c>
      <c r="O87">
        <v>1808</v>
      </c>
      <c r="P87">
        <v>84</v>
      </c>
      <c r="Q87">
        <v>1</v>
      </c>
      <c r="R87">
        <v>84.801573000000005</v>
      </c>
      <c r="S87" t="s">
        <v>28</v>
      </c>
      <c r="T87">
        <v>6.9673198000000006E-2</v>
      </c>
      <c r="U87">
        <v>8.4591737E-2</v>
      </c>
      <c r="V87">
        <v>24</v>
      </c>
      <c r="W87">
        <v>74</v>
      </c>
      <c r="X87">
        <v>56</v>
      </c>
      <c r="Y87">
        <v>56119</v>
      </c>
    </row>
    <row r="88" spans="1:30" x14ac:dyDescent="0.25">
      <c r="A88">
        <v>3.4443799999999999E-3</v>
      </c>
      <c r="B88">
        <v>3.2014388489208598</v>
      </c>
      <c r="C88">
        <v>13.399999618530201</v>
      </c>
      <c r="D88">
        <v>72</v>
      </c>
      <c r="E88">
        <v>25</v>
      </c>
      <c r="F88">
        <v>1906</v>
      </c>
      <c r="G88" t="s">
        <v>25</v>
      </c>
      <c r="H88">
        <v>43</v>
      </c>
      <c r="I88">
        <v>144</v>
      </c>
      <c r="J88">
        <v>1906</v>
      </c>
      <c r="K88">
        <v>10</v>
      </c>
      <c r="L88" t="s">
        <v>71</v>
      </c>
      <c r="M88">
        <v>272</v>
      </c>
      <c r="N88">
        <v>445</v>
      </c>
      <c r="O88">
        <v>272</v>
      </c>
      <c r="P88">
        <v>39</v>
      </c>
      <c r="Q88">
        <v>1</v>
      </c>
      <c r="R88">
        <v>6.0731890000000002</v>
      </c>
      <c r="S88" t="s">
        <v>27</v>
      </c>
      <c r="T88">
        <v>2.6013149999999999E-3</v>
      </c>
      <c r="U88">
        <v>6.045122E-3</v>
      </c>
      <c r="V88">
        <v>5</v>
      </c>
      <c r="W88">
        <v>16</v>
      </c>
      <c r="X88">
        <v>87</v>
      </c>
      <c r="Y88">
        <v>1906</v>
      </c>
      <c r="AC88">
        <f>U88/U89</f>
        <v>1.0011884836333416</v>
      </c>
      <c r="AD88">
        <f t="shared" ref="AD88" si="41">I88-I89</f>
        <v>7</v>
      </c>
    </row>
    <row r="89" spans="1:30" x14ac:dyDescent="0.25">
      <c r="A89">
        <v>3.6271669999999902E-3</v>
      </c>
      <c r="B89">
        <v>3.4604316546762499</v>
      </c>
      <c r="C89">
        <v>13.399999618530201</v>
      </c>
      <c r="D89">
        <v>72</v>
      </c>
      <c r="E89">
        <v>25</v>
      </c>
      <c r="F89">
        <v>1906</v>
      </c>
      <c r="G89" t="s">
        <v>25</v>
      </c>
      <c r="H89">
        <v>43</v>
      </c>
      <c r="I89">
        <v>137</v>
      </c>
      <c r="J89">
        <v>1906</v>
      </c>
      <c r="K89">
        <v>11</v>
      </c>
      <c r="L89" t="s">
        <v>71</v>
      </c>
      <c r="M89">
        <v>272</v>
      </c>
      <c r="N89">
        <v>481</v>
      </c>
      <c r="O89">
        <v>272</v>
      </c>
      <c r="P89">
        <v>40</v>
      </c>
      <c r="Q89">
        <v>2</v>
      </c>
      <c r="R89">
        <v>6.0996110000000003</v>
      </c>
      <c r="S89" t="s">
        <v>28</v>
      </c>
      <c r="T89">
        <v>2.4113540000000001E-3</v>
      </c>
      <c r="U89">
        <v>6.0379459999999998E-3</v>
      </c>
      <c r="V89">
        <v>5</v>
      </c>
      <c r="W89">
        <v>14</v>
      </c>
      <c r="X89">
        <v>80</v>
      </c>
      <c r="Y89">
        <v>1906</v>
      </c>
    </row>
    <row r="90" spans="1:30" x14ac:dyDescent="0.25">
      <c r="A90">
        <v>3.6456349999999999E-3</v>
      </c>
      <c r="B90">
        <v>4.81725888324873</v>
      </c>
      <c r="C90">
        <v>13.571428298950099</v>
      </c>
      <c r="D90">
        <v>150</v>
      </c>
      <c r="E90">
        <v>25</v>
      </c>
      <c r="F90">
        <v>8593</v>
      </c>
      <c r="G90" t="s">
        <v>25</v>
      </c>
      <c r="H90">
        <v>44</v>
      </c>
      <c r="I90">
        <v>155</v>
      </c>
      <c r="J90">
        <v>8593</v>
      </c>
      <c r="K90">
        <v>14</v>
      </c>
      <c r="L90" t="s">
        <v>72</v>
      </c>
      <c r="M90">
        <v>673</v>
      </c>
      <c r="N90">
        <v>949</v>
      </c>
      <c r="O90">
        <v>673</v>
      </c>
      <c r="P90">
        <v>47</v>
      </c>
      <c r="Q90">
        <v>1</v>
      </c>
      <c r="R90">
        <v>7.5528459999999997</v>
      </c>
      <c r="S90" t="s">
        <v>27</v>
      </c>
      <c r="T90">
        <v>3.8414090000000001E-3</v>
      </c>
      <c r="U90">
        <v>7.4864520000000002E-3</v>
      </c>
      <c r="V90">
        <v>7</v>
      </c>
      <c r="W90">
        <v>35</v>
      </c>
      <c r="X90">
        <v>71</v>
      </c>
      <c r="Y90">
        <v>8593</v>
      </c>
      <c r="AC90">
        <f>U90/U91</f>
        <v>0.55044899397292535</v>
      </c>
      <c r="AD90">
        <f t="shared" ref="AD90" si="42">I90-I91</f>
        <v>-26</v>
      </c>
    </row>
    <row r="91" spans="1:30" x14ac:dyDescent="0.25">
      <c r="A91">
        <v>5.5632370000000004E-3</v>
      </c>
      <c r="B91">
        <v>4.8426395939086202</v>
      </c>
      <c r="C91">
        <v>13.571428298950099</v>
      </c>
      <c r="D91">
        <v>150</v>
      </c>
      <c r="E91">
        <v>25</v>
      </c>
      <c r="F91">
        <v>8593</v>
      </c>
      <c r="G91" t="s">
        <v>25</v>
      </c>
      <c r="H91">
        <v>44</v>
      </c>
      <c r="I91">
        <v>181</v>
      </c>
      <c r="J91">
        <v>8593</v>
      </c>
      <c r="K91">
        <v>14</v>
      </c>
      <c r="L91" t="s">
        <v>72</v>
      </c>
      <c r="M91">
        <v>564</v>
      </c>
      <c r="N91">
        <v>954</v>
      </c>
      <c r="O91">
        <v>564</v>
      </c>
      <c r="P91">
        <v>77</v>
      </c>
      <c r="Q91">
        <v>1</v>
      </c>
      <c r="R91">
        <v>13.689325999999999</v>
      </c>
      <c r="S91" t="s">
        <v>28</v>
      </c>
      <c r="T91">
        <v>8.0379830000000003E-3</v>
      </c>
      <c r="U91">
        <v>1.3600628E-2</v>
      </c>
      <c r="V91">
        <v>7</v>
      </c>
      <c r="W91">
        <v>38</v>
      </c>
      <c r="X91">
        <v>64</v>
      </c>
      <c r="Y91">
        <v>8593</v>
      </c>
    </row>
    <row r="92" spans="1:30" x14ac:dyDescent="0.25">
      <c r="A92">
        <v>8.2484099999999999E-4</v>
      </c>
      <c r="B92">
        <v>1.57219251336898</v>
      </c>
      <c r="C92">
        <v>12.857142448425201</v>
      </c>
      <c r="D92">
        <v>126</v>
      </c>
      <c r="E92">
        <v>25</v>
      </c>
      <c r="F92">
        <v>6912</v>
      </c>
      <c r="G92" t="s">
        <v>25</v>
      </c>
      <c r="H92">
        <v>45</v>
      </c>
      <c r="I92">
        <v>48</v>
      </c>
      <c r="J92">
        <v>6912</v>
      </c>
      <c r="K92">
        <v>4</v>
      </c>
      <c r="L92" t="s">
        <v>73</v>
      </c>
      <c r="M92">
        <v>99</v>
      </c>
      <c r="N92">
        <v>294</v>
      </c>
      <c r="O92">
        <v>99</v>
      </c>
      <c r="P92">
        <v>7</v>
      </c>
      <c r="Q92">
        <v>1</v>
      </c>
      <c r="R92">
        <v>0.914798</v>
      </c>
      <c r="S92" t="s">
        <v>27</v>
      </c>
      <c r="T92" s="1">
        <v>7.6680000000000004E-5</v>
      </c>
      <c r="U92">
        <v>9.0101299999999999E-4</v>
      </c>
      <c r="V92">
        <v>7</v>
      </c>
      <c r="W92">
        <v>2</v>
      </c>
      <c r="X92">
        <v>37</v>
      </c>
      <c r="Y92">
        <v>6912</v>
      </c>
      <c r="AC92">
        <f>U92/U93</f>
        <v>1.0663456235487376</v>
      </c>
      <c r="AD92">
        <f t="shared" ref="AD92" si="43">I92-I93</f>
        <v>2</v>
      </c>
    </row>
    <row r="93" spans="1:30" x14ac:dyDescent="0.25">
      <c r="A93">
        <v>7.6911999999999998E-4</v>
      </c>
      <c r="B93">
        <v>1.59358288770053</v>
      </c>
      <c r="C93">
        <v>12.857142448425201</v>
      </c>
      <c r="D93">
        <v>126</v>
      </c>
      <c r="E93">
        <v>25</v>
      </c>
      <c r="F93">
        <v>6912</v>
      </c>
      <c r="G93" t="s">
        <v>25</v>
      </c>
      <c r="H93">
        <v>45</v>
      </c>
      <c r="I93">
        <v>46</v>
      </c>
      <c r="J93">
        <v>6912</v>
      </c>
      <c r="K93">
        <v>4</v>
      </c>
      <c r="L93" t="s">
        <v>73</v>
      </c>
      <c r="M93">
        <v>91</v>
      </c>
      <c r="N93">
        <v>298</v>
      </c>
      <c r="O93">
        <v>91</v>
      </c>
      <c r="P93">
        <v>7</v>
      </c>
      <c r="Q93">
        <v>1</v>
      </c>
      <c r="R93">
        <v>0.87790100000000004</v>
      </c>
      <c r="S93" t="s">
        <v>28</v>
      </c>
      <c r="T93" s="1">
        <v>7.6197000000000002E-5</v>
      </c>
      <c r="U93">
        <v>8.4495399999999997E-4</v>
      </c>
      <c r="V93">
        <v>7</v>
      </c>
      <c r="W93">
        <v>2</v>
      </c>
      <c r="X93">
        <v>35</v>
      </c>
      <c r="Y93">
        <v>6912</v>
      </c>
    </row>
    <row r="94" spans="1:30" x14ac:dyDescent="0.25">
      <c r="A94">
        <v>1.2602359999999899E-2</v>
      </c>
      <c r="B94">
        <v>3.9635220125786099</v>
      </c>
      <c r="C94">
        <v>15.399999618530201</v>
      </c>
      <c r="D94">
        <v>3202</v>
      </c>
      <c r="E94">
        <v>25</v>
      </c>
      <c r="F94">
        <v>68844</v>
      </c>
      <c r="G94" t="s">
        <v>25</v>
      </c>
      <c r="H94">
        <v>46</v>
      </c>
      <c r="I94">
        <v>196</v>
      </c>
      <c r="J94">
        <v>68844</v>
      </c>
      <c r="K94">
        <v>23</v>
      </c>
      <c r="L94" t="s">
        <v>74</v>
      </c>
      <c r="M94">
        <v>2135</v>
      </c>
      <c r="N94">
        <v>3151</v>
      </c>
      <c r="O94">
        <v>2135</v>
      </c>
      <c r="P94">
        <v>74</v>
      </c>
      <c r="Q94">
        <v>2</v>
      </c>
      <c r="R94">
        <v>63.753478999999999</v>
      </c>
      <c r="S94" t="s">
        <v>27</v>
      </c>
      <c r="T94">
        <v>5.0982866000000002E-2</v>
      </c>
      <c r="U94">
        <v>6.3584663999999999E-2</v>
      </c>
      <c r="V94">
        <v>25</v>
      </c>
      <c r="W94">
        <v>79</v>
      </c>
      <c r="X94">
        <v>40</v>
      </c>
      <c r="Y94">
        <v>68844</v>
      </c>
      <c r="AC94">
        <f>U94/U95</f>
        <v>0.45451054834598176</v>
      </c>
      <c r="AD94">
        <f t="shared" ref="AD94" si="44">I94-I95</f>
        <v>-21</v>
      </c>
    </row>
    <row r="95" spans="1:30" x14ac:dyDescent="0.25">
      <c r="A95">
        <v>1.29395509999999E-2</v>
      </c>
      <c r="B95">
        <v>4.4666666666666597</v>
      </c>
      <c r="C95">
        <v>15.399999618530201</v>
      </c>
      <c r="D95">
        <v>3202</v>
      </c>
      <c r="E95">
        <v>25</v>
      </c>
      <c r="F95">
        <v>68844</v>
      </c>
      <c r="G95" t="s">
        <v>25</v>
      </c>
      <c r="H95">
        <v>46</v>
      </c>
      <c r="I95">
        <v>217</v>
      </c>
      <c r="J95">
        <v>68844</v>
      </c>
      <c r="K95">
        <v>24</v>
      </c>
      <c r="L95" t="s">
        <v>74</v>
      </c>
      <c r="M95">
        <v>2014</v>
      </c>
      <c r="N95">
        <v>3551</v>
      </c>
      <c r="O95">
        <v>2014</v>
      </c>
      <c r="P95">
        <v>111</v>
      </c>
      <c r="Q95">
        <v>1</v>
      </c>
      <c r="R95">
        <v>140.15002699999999</v>
      </c>
      <c r="S95" t="s">
        <v>28</v>
      </c>
      <c r="T95">
        <v>0.126958091</v>
      </c>
      <c r="U95">
        <v>0.13989700399999999</v>
      </c>
      <c r="V95">
        <v>25</v>
      </c>
      <c r="W95">
        <v>69</v>
      </c>
      <c r="X95">
        <v>35</v>
      </c>
      <c r="Y95">
        <v>68844</v>
      </c>
    </row>
    <row r="96" spans="1:30" x14ac:dyDescent="0.25">
      <c r="A96">
        <v>0.10866600200000601</v>
      </c>
      <c r="B96">
        <v>3.4850427350427302</v>
      </c>
      <c r="C96">
        <v>16.214284896850501</v>
      </c>
      <c r="D96">
        <v>970</v>
      </c>
      <c r="E96">
        <v>25</v>
      </c>
      <c r="G96" t="s">
        <v>25</v>
      </c>
      <c r="H96">
        <v>47</v>
      </c>
      <c r="I96">
        <v>1052</v>
      </c>
      <c r="J96">
        <v>14776</v>
      </c>
      <c r="K96">
        <v>22</v>
      </c>
      <c r="L96" t="s">
        <v>75</v>
      </c>
      <c r="M96">
        <v>969</v>
      </c>
      <c r="N96">
        <v>1631</v>
      </c>
      <c r="O96">
        <v>969</v>
      </c>
      <c r="P96">
        <v>971</v>
      </c>
      <c r="Q96">
        <v>1</v>
      </c>
      <c r="R96">
        <v>120000</v>
      </c>
      <c r="S96" t="s">
        <v>27</v>
      </c>
      <c r="T96">
        <v>120.217393171</v>
      </c>
      <c r="U96">
        <v>120.32605847000001</v>
      </c>
      <c r="V96">
        <v>14</v>
      </c>
      <c r="W96">
        <v>57</v>
      </c>
      <c r="X96">
        <v>23</v>
      </c>
      <c r="Y96">
        <v>2147483647</v>
      </c>
      <c r="AC96">
        <f>U96/U97</f>
        <v>1.043225304182771</v>
      </c>
      <c r="AD96">
        <f t="shared" ref="AD96" si="45">I96-I97</f>
        <v>244</v>
      </c>
    </row>
    <row r="97" spans="1:30" x14ac:dyDescent="0.25">
      <c r="A97">
        <v>9.3639617000008002E-2</v>
      </c>
      <c r="B97">
        <v>5.0512820512820502</v>
      </c>
      <c r="C97">
        <v>16.214284896850501</v>
      </c>
      <c r="D97">
        <v>970</v>
      </c>
      <c r="E97">
        <v>25</v>
      </c>
      <c r="F97">
        <v>15182</v>
      </c>
      <c r="G97" t="s">
        <v>25</v>
      </c>
      <c r="H97">
        <v>47</v>
      </c>
      <c r="I97">
        <v>808</v>
      </c>
      <c r="J97">
        <v>15182</v>
      </c>
      <c r="K97">
        <v>30</v>
      </c>
      <c r="L97" t="s">
        <v>75</v>
      </c>
      <c r="M97">
        <v>1222</v>
      </c>
      <c r="N97">
        <v>2364</v>
      </c>
      <c r="O97">
        <v>1222</v>
      </c>
      <c r="P97">
        <v>652</v>
      </c>
      <c r="Q97">
        <v>2</v>
      </c>
      <c r="R97">
        <v>116976.63087399999</v>
      </c>
      <c r="S97" t="s">
        <v>28</v>
      </c>
      <c r="T97">
        <v>115.246794071</v>
      </c>
      <c r="U97">
        <v>115.340433162</v>
      </c>
      <c r="V97">
        <v>14</v>
      </c>
      <c r="W97">
        <v>89</v>
      </c>
      <c r="X97">
        <v>64</v>
      </c>
      <c r="Y97">
        <v>15182</v>
      </c>
    </row>
    <row r="98" spans="1:30" s="3" customFormat="1" x14ac:dyDescent="0.25">
      <c r="A98" s="3">
        <v>6.8894499000009504E-2</v>
      </c>
      <c r="B98" s="3">
        <v>4.6363636363636296</v>
      </c>
      <c r="C98" s="3">
        <v>20.931034088134702</v>
      </c>
      <c r="D98" s="3">
        <v>5915</v>
      </c>
      <c r="E98" s="3">
        <v>33</v>
      </c>
      <c r="G98" s="3" t="s">
        <v>25</v>
      </c>
      <c r="H98" s="3">
        <v>48</v>
      </c>
      <c r="I98" s="3">
        <v>719</v>
      </c>
      <c r="J98" s="3">
        <v>12269</v>
      </c>
      <c r="K98" s="3">
        <v>19</v>
      </c>
      <c r="L98" s="3" t="s">
        <v>76</v>
      </c>
      <c r="M98" s="3">
        <v>3992</v>
      </c>
      <c r="N98" s="3">
        <v>5763</v>
      </c>
      <c r="O98" s="3">
        <v>3992</v>
      </c>
      <c r="P98" s="3">
        <v>643</v>
      </c>
      <c r="Q98" s="3">
        <v>1</v>
      </c>
      <c r="R98" s="3">
        <v>120000</v>
      </c>
      <c r="S98" s="3" t="s">
        <v>27</v>
      </c>
      <c r="T98" s="3">
        <v>120.76763300499999</v>
      </c>
      <c r="U98" s="3">
        <v>120.836526748</v>
      </c>
      <c r="V98" s="3">
        <v>29</v>
      </c>
      <c r="W98" s="3">
        <v>71</v>
      </c>
      <c r="X98" s="3">
        <v>4</v>
      </c>
      <c r="Y98" s="3">
        <v>2147483647</v>
      </c>
      <c r="AC98" s="3">
        <f>U98/U99</f>
        <v>0.99692509701939569</v>
      </c>
      <c r="AD98" s="3">
        <f t="shared" ref="AD98" si="46">I98-I99</f>
        <v>-45</v>
      </c>
    </row>
    <row r="99" spans="1:30" x14ac:dyDescent="0.25">
      <c r="A99">
        <v>7.6716387999994098E-2</v>
      </c>
      <c r="B99">
        <v>5.18825422365245</v>
      </c>
      <c r="C99">
        <v>20.931034088134702</v>
      </c>
      <c r="D99">
        <v>5915</v>
      </c>
      <c r="E99">
        <v>33</v>
      </c>
      <c r="G99" t="s">
        <v>25</v>
      </c>
      <c r="H99">
        <v>48</v>
      </c>
      <c r="I99">
        <v>764</v>
      </c>
      <c r="J99">
        <v>12072</v>
      </c>
      <c r="K99">
        <v>20</v>
      </c>
      <c r="L99" t="s">
        <v>76</v>
      </c>
      <c r="M99">
        <v>3839</v>
      </c>
      <c r="N99">
        <v>6449</v>
      </c>
      <c r="O99">
        <v>3839</v>
      </c>
      <c r="P99">
        <v>698</v>
      </c>
      <c r="Q99">
        <v>1</v>
      </c>
      <c r="R99">
        <v>120000</v>
      </c>
      <c r="S99" t="s">
        <v>28</v>
      </c>
      <c r="T99">
        <v>121.132517889</v>
      </c>
      <c r="U99">
        <v>121.209233381</v>
      </c>
      <c r="V99">
        <v>29</v>
      </c>
      <c r="W99">
        <v>62</v>
      </c>
      <c r="X99">
        <v>3</v>
      </c>
      <c r="Y99">
        <v>2147483647</v>
      </c>
    </row>
    <row r="100" spans="1:30" x14ac:dyDescent="0.25">
      <c r="A100">
        <v>7.0585906000005097E-2</v>
      </c>
      <c r="B100">
        <v>4.7846153846153801</v>
      </c>
      <c r="C100">
        <v>19</v>
      </c>
      <c r="D100">
        <v>3735</v>
      </c>
      <c r="E100">
        <v>33</v>
      </c>
      <c r="G100" t="s">
        <v>25</v>
      </c>
      <c r="H100">
        <v>49</v>
      </c>
      <c r="I100">
        <v>751</v>
      </c>
      <c r="J100">
        <v>8464</v>
      </c>
      <c r="K100">
        <v>19</v>
      </c>
      <c r="L100" t="s">
        <v>77</v>
      </c>
      <c r="M100">
        <v>3238</v>
      </c>
      <c r="N100">
        <v>4665</v>
      </c>
      <c r="O100">
        <v>3238</v>
      </c>
      <c r="P100">
        <v>675</v>
      </c>
      <c r="Q100">
        <v>1</v>
      </c>
      <c r="R100">
        <v>120000</v>
      </c>
      <c r="S100" t="s">
        <v>27</v>
      </c>
      <c r="T100">
        <v>119.935133502</v>
      </c>
      <c r="U100">
        <v>120.005718856</v>
      </c>
      <c r="V100">
        <v>25</v>
      </c>
      <c r="W100">
        <v>74</v>
      </c>
      <c r="X100">
        <v>1</v>
      </c>
      <c r="Y100">
        <v>2147483647</v>
      </c>
      <c r="AC100">
        <f>U100/U101</f>
        <v>0.99857004383961157</v>
      </c>
      <c r="AD100">
        <f t="shared" ref="AD100" si="47">I100-I101</f>
        <v>-88</v>
      </c>
    </row>
    <row r="101" spans="1:30" x14ac:dyDescent="0.25">
      <c r="A101">
        <v>7.5246862000000095E-2</v>
      </c>
      <c r="B101">
        <v>5.20410256410256</v>
      </c>
      <c r="C101">
        <v>19</v>
      </c>
      <c r="D101">
        <v>3735</v>
      </c>
      <c r="E101">
        <v>33</v>
      </c>
      <c r="G101" t="s">
        <v>25</v>
      </c>
      <c r="H101">
        <v>49</v>
      </c>
      <c r="I101">
        <v>839</v>
      </c>
      <c r="J101">
        <v>8114</v>
      </c>
      <c r="K101">
        <v>28</v>
      </c>
      <c r="L101" t="s">
        <v>77</v>
      </c>
      <c r="M101">
        <v>2970</v>
      </c>
      <c r="N101">
        <v>5074</v>
      </c>
      <c r="O101">
        <v>2970</v>
      </c>
      <c r="P101">
        <v>776</v>
      </c>
      <c r="Q101">
        <v>1</v>
      </c>
      <c r="R101">
        <v>120000</v>
      </c>
      <c r="S101" t="s">
        <v>28</v>
      </c>
      <c r="T101">
        <v>120.10234048</v>
      </c>
      <c r="U101">
        <v>120.177567509</v>
      </c>
      <c r="V101">
        <v>25</v>
      </c>
      <c r="W101">
        <v>62</v>
      </c>
      <c r="X101">
        <v>0</v>
      </c>
      <c r="Y101">
        <v>2147483647</v>
      </c>
    </row>
    <row r="102" spans="1:30" x14ac:dyDescent="0.25">
      <c r="A102">
        <v>7.0794770999995593E-2</v>
      </c>
      <c r="B102">
        <v>5.1584699453551899</v>
      </c>
      <c r="C102">
        <v>22.375</v>
      </c>
      <c r="D102">
        <v>2061</v>
      </c>
      <c r="E102">
        <v>33</v>
      </c>
      <c r="F102">
        <v>3681</v>
      </c>
      <c r="G102" t="s">
        <v>25</v>
      </c>
      <c r="H102">
        <v>50</v>
      </c>
      <c r="I102">
        <v>800</v>
      </c>
      <c r="J102">
        <v>3681</v>
      </c>
      <c r="K102">
        <v>19</v>
      </c>
      <c r="L102" t="s">
        <v>78</v>
      </c>
      <c r="M102">
        <v>2772</v>
      </c>
      <c r="N102">
        <v>3776</v>
      </c>
      <c r="O102">
        <v>2772</v>
      </c>
      <c r="P102">
        <v>599</v>
      </c>
      <c r="Q102">
        <v>1</v>
      </c>
      <c r="R102">
        <v>74011.965108000004</v>
      </c>
      <c r="S102" t="s">
        <v>27</v>
      </c>
      <c r="T102">
        <v>72.757336859000006</v>
      </c>
      <c r="U102">
        <v>72.828130993000002</v>
      </c>
      <c r="V102">
        <v>16</v>
      </c>
      <c r="W102">
        <v>101</v>
      </c>
      <c r="X102">
        <v>98</v>
      </c>
      <c r="Y102">
        <v>3681</v>
      </c>
      <c r="AC102">
        <f>U102/U103</f>
        <v>0.60243989025841949</v>
      </c>
      <c r="AD102">
        <f t="shared" ref="AD102" si="48">I102-I103</f>
        <v>-25</v>
      </c>
    </row>
    <row r="103" spans="1:30" x14ac:dyDescent="0.25">
      <c r="A103">
        <v>7.5467585999987805E-2</v>
      </c>
      <c r="B103">
        <v>5.7472677595628401</v>
      </c>
      <c r="C103">
        <v>22.375</v>
      </c>
      <c r="D103">
        <v>2061</v>
      </c>
      <c r="E103">
        <v>33</v>
      </c>
      <c r="G103" t="s">
        <v>25</v>
      </c>
      <c r="H103">
        <v>50</v>
      </c>
      <c r="I103">
        <v>825</v>
      </c>
      <c r="J103">
        <v>3673</v>
      </c>
      <c r="K103">
        <v>23</v>
      </c>
      <c r="L103" t="s">
        <v>78</v>
      </c>
      <c r="M103">
        <v>2791</v>
      </c>
      <c r="N103">
        <v>4207</v>
      </c>
      <c r="O103">
        <v>2791</v>
      </c>
      <c r="P103">
        <v>648</v>
      </c>
      <c r="Q103">
        <v>1</v>
      </c>
      <c r="R103">
        <v>120000</v>
      </c>
      <c r="S103" t="s">
        <v>28</v>
      </c>
      <c r="T103">
        <v>120.81315973700001</v>
      </c>
      <c r="U103">
        <v>120.888626684</v>
      </c>
      <c r="V103">
        <v>16</v>
      </c>
      <c r="W103">
        <v>98</v>
      </c>
      <c r="X103">
        <v>78</v>
      </c>
      <c r="Y103">
        <v>2147483647</v>
      </c>
    </row>
    <row r="104" spans="1:30" x14ac:dyDescent="0.25">
      <c r="A104">
        <v>9.9504740000000008E-3</v>
      </c>
      <c r="B104">
        <v>3.86231884057971</v>
      </c>
      <c r="C104">
        <v>19.214284896850501</v>
      </c>
      <c r="D104">
        <v>1175</v>
      </c>
      <c r="E104">
        <v>33</v>
      </c>
      <c r="F104">
        <v>3122</v>
      </c>
      <c r="G104" t="s">
        <v>25</v>
      </c>
      <c r="H104">
        <v>51</v>
      </c>
      <c r="I104">
        <v>203</v>
      </c>
      <c r="J104">
        <v>3122</v>
      </c>
      <c r="K104">
        <v>18</v>
      </c>
      <c r="L104" t="s">
        <v>79</v>
      </c>
      <c r="M104">
        <v>1453</v>
      </c>
      <c r="N104">
        <v>2132</v>
      </c>
      <c r="O104">
        <v>1453</v>
      </c>
      <c r="P104">
        <v>55</v>
      </c>
      <c r="Q104">
        <v>1</v>
      </c>
      <c r="R104">
        <v>31.353083000000002</v>
      </c>
      <c r="S104" t="s">
        <v>27</v>
      </c>
      <c r="T104">
        <v>2.1276713999999999E-2</v>
      </c>
      <c r="U104">
        <v>3.1226648999999999E-2</v>
      </c>
      <c r="V104">
        <v>14</v>
      </c>
      <c r="W104">
        <v>58</v>
      </c>
      <c r="X104">
        <v>88</v>
      </c>
      <c r="Y104">
        <v>3122</v>
      </c>
      <c r="AC104">
        <f>U104/U105</f>
        <v>0.19599524127971424</v>
      </c>
      <c r="AD104">
        <f t="shared" ref="AD104" si="49">I104-I105</f>
        <v>-46</v>
      </c>
    </row>
    <row r="105" spans="1:30" x14ac:dyDescent="0.25">
      <c r="A105">
        <v>1.0658246E-2</v>
      </c>
      <c r="B105">
        <v>3.7753623188405698</v>
      </c>
      <c r="C105">
        <v>19.214284896850501</v>
      </c>
      <c r="D105">
        <v>1175</v>
      </c>
      <c r="E105">
        <v>33</v>
      </c>
      <c r="F105">
        <v>3122</v>
      </c>
      <c r="G105" t="s">
        <v>25</v>
      </c>
      <c r="H105">
        <v>51</v>
      </c>
      <c r="I105">
        <v>249</v>
      </c>
      <c r="J105">
        <v>3122</v>
      </c>
      <c r="K105">
        <v>15</v>
      </c>
      <c r="L105" t="s">
        <v>79</v>
      </c>
      <c r="M105">
        <v>1253</v>
      </c>
      <c r="N105">
        <v>2084</v>
      </c>
      <c r="O105">
        <v>1253</v>
      </c>
      <c r="P105">
        <v>137</v>
      </c>
      <c r="Q105">
        <v>1</v>
      </c>
      <c r="R105">
        <v>159.66130899999999</v>
      </c>
      <c r="S105" t="s">
        <v>28</v>
      </c>
      <c r="T105">
        <v>0.14866583</v>
      </c>
      <c r="U105">
        <v>0.159323506</v>
      </c>
      <c r="V105">
        <v>14</v>
      </c>
      <c r="W105">
        <v>48</v>
      </c>
      <c r="X105">
        <v>62</v>
      </c>
      <c r="Y105">
        <v>3122</v>
      </c>
    </row>
    <row r="106" spans="1:30" x14ac:dyDescent="0.25">
      <c r="A106">
        <v>1.2606021E-2</v>
      </c>
      <c r="B106">
        <v>3.6645569620253098</v>
      </c>
      <c r="C106">
        <v>19.25</v>
      </c>
      <c r="D106">
        <v>876</v>
      </c>
      <c r="E106">
        <v>33</v>
      </c>
      <c r="F106">
        <v>3306</v>
      </c>
      <c r="G106" t="s">
        <v>25</v>
      </c>
      <c r="H106">
        <v>52</v>
      </c>
      <c r="I106">
        <v>295</v>
      </c>
      <c r="J106">
        <v>3306</v>
      </c>
      <c r="K106">
        <v>16</v>
      </c>
      <c r="L106" t="s">
        <v>80</v>
      </c>
      <c r="M106">
        <v>1146</v>
      </c>
      <c r="N106">
        <v>1737</v>
      </c>
      <c r="O106">
        <v>1146</v>
      </c>
      <c r="P106">
        <v>204</v>
      </c>
      <c r="Q106">
        <v>1</v>
      </c>
      <c r="R106">
        <v>384.59781400000003</v>
      </c>
      <c r="S106" t="s">
        <v>27</v>
      </c>
      <c r="T106">
        <v>0.37153315999999997</v>
      </c>
      <c r="U106">
        <v>0.38413864800000003</v>
      </c>
      <c r="V106">
        <v>12</v>
      </c>
      <c r="W106">
        <v>51</v>
      </c>
      <c r="X106">
        <v>38</v>
      </c>
      <c r="Y106">
        <v>3306</v>
      </c>
      <c r="AC106">
        <f>U106/U107</f>
        <v>3.164789202868489</v>
      </c>
      <c r="AD106">
        <f t="shared" ref="AD106" si="50">I106-I107</f>
        <v>84</v>
      </c>
    </row>
    <row r="107" spans="1:30" x14ac:dyDescent="0.25">
      <c r="A107">
        <v>9.1122189999999995E-3</v>
      </c>
      <c r="B107">
        <v>3.5970464135020999</v>
      </c>
      <c r="C107">
        <v>19.25</v>
      </c>
      <c r="D107">
        <v>876</v>
      </c>
      <c r="E107">
        <v>33</v>
      </c>
      <c r="F107">
        <v>3306</v>
      </c>
      <c r="G107" t="s">
        <v>25</v>
      </c>
      <c r="H107">
        <v>52</v>
      </c>
      <c r="I107">
        <v>211</v>
      </c>
      <c r="J107">
        <v>3306</v>
      </c>
      <c r="K107">
        <v>19</v>
      </c>
      <c r="L107" t="s">
        <v>80</v>
      </c>
      <c r="M107">
        <v>969</v>
      </c>
      <c r="N107">
        <v>1705</v>
      </c>
      <c r="O107">
        <v>969</v>
      </c>
      <c r="P107">
        <v>131</v>
      </c>
      <c r="Q107">
        <v>1</v>
      </c>
      <c r="R107">
        <v>121.72272599999999</v>
      </c>
      <c r="S107" t="s">
        <v>28</v>
      </c>
      <c r="T107">
        <v>0.112267253</v>
      </c>
      <c r="U107">
        <v>0.121378905</v>
      </c>
      <c r="V107">
        <v>12</v>
      </c>
      <c r="W107">
        <v>46</v>
      </c>
      <c r="X107">
        <v>32</v>
      </c>
      <c r="Y107">
        <v>3306</v>
      </c>
    </row>
    <row r="108" spans="1:30" x14ac:dyDescent="0.25">
      <c r="A108">
        <v>1.3418E-3</v>
      </c>
      <c r="B108">
        <v>1.7745098039215601</v>
      </c>
      <c r="C108">
        <v>18.625</v>
      </c>
      <c r="D108">
        <v>307</v>
      </c>
      <c r="E108">
        <v>33</v>
      </c>
      <c r="F108">
        <v>2149</v>
      </c>
      <c r="G108" t="s">
        <v>25</v>
      </c>
      <c r="H108">
        <v>53</v>
      </c>
      <c r="I108">
        <v>62</v>
      </c>
      <c r="J108">
        <v>2149</v>
      </c>
      <c r="K108">
        <v>6</v>
      </c>
      <c r="L108" t="s">
        <v>81</v>
      </c>
      <c r="M108">
        <v>221</v>
      </c>
      <c r="N108">
        <v>543</v>
      </c>
      <c r="O108">
        <v>221</v>
      </c>
      <c r="P108">
        <v>9</v>
      </c>
      <c r="Q108">
        <v>1</v>
      </c>
      <c r="R108">
        <v>1.554686</v>
      </c>
      <c r="S108" t="s">
        <v>27</v>
      </c>
      <c r="T108">
        <v>1.9652600000000001E-4</v>
      </c>
      <c r="U108">
        <v>1.5378600000000001E-3</v>
      </c>
      <c r="V108">
        <v>8</v>
      </c>
      <c r="W108">
        <v>6</v>
      </c>
      <c r="X108">
        <v>45</v>
      </c>
      <c r="Y108">
        <v>2149</v>
      </c>
      <c r="AC108">
        <f>U108/U109</f>
        <v>1.1459053625503708</v>
      </c>
      <c r="AD108">
        <f t="shared" ref="AD108" si="51">I108-I109</f>
        <v>10</v>
      </c>
    </row>
    <row r="109" spans="1:30" x14ac:dyDescent="0.25">
      <c r="A109">
        <v>1.1468419999999999E-3</v>
      </c>
      <c r="B109">
        <v>1.73856209150326</v>
      </c>
      <c r="C109">
        <v>18.625</v>
      </c>
      <c r="D109">
        <v>307</v>
      </c>
      <c r="E109">
        <v>33</v>
      </c>
      <c r="F109">
        <v>2149</v>
      </c>
      <c r="G109" t="s">
        <v>25</v>
      </c>
      <c r="H109">
        <v>53</v>
      </c>
      <c r="I109">
        <v>52</v>
      </c>
      <c r="J109">
        <v>2149</v>
      </c>
      <c r="K109">
        <v>5</v>
      </c>
      <c r="L109" t="s">
        <v>81</v>
      </c>
      <c r="M109">
        <v>186</v>
      </c>
      <c r="N109">
        <v>532</v>
      </c>
      <c r="O109">
        <v>186</v>
      </c>
      <c r="P109">
        <v>10</v>
      </c>
      <c r="Q109">
        <v>1</v>
      </c>
      <c r="R109">
        <v>1.3783939999999999</v>
      </c>
      <c r="S109" t="s">
        <v>28</v>
      </c>
      <c r="T109">
        <v>1.95539E-4</v>
      </c>
      <c r="U109">
        <v>1.342048E-3</v>
      </c>
      <c r="V109">
        <v>8</v>
      </c>
      <c r="W109">
        <v>6</v>
      </c>
      <c r="X109">
        <v>34</v>
      </c>
      <c r="Y109">
        <v>2149</v>
      </c>
    </row>
    <row r="110" spans="1:30" x14ac:dyDescent="0.25">
      <c r="A110">
        <v>2.3654430000000001E-3</v>
      </c>
      <c r="B110">
        <v>2.7904761904761899</v>
      </c>
      <c r="C110">
        <v>12.625</v>
      </c>
      <c r="D110">
        <v>126</v>
      </c>
      <c r="E110">
        <v>33</v>
      </c>
      <c r="F110">
        <v>1762</v>
      </c>
      <c r="G110" t="s">
        <v>25</v>
      </c>
      <c r="H110">
        <v>54</v>
      </c>
      <c r="I110">
        <v>112</v>
      </c>
      <c r="J110">
        <v>1762</v>
      </c>
      <c r="K110">
        <v>8</v>
      </c>
      <c r="L110" t="s">
        <v>82</v>
      </c>
      <c r="M110">
        <v>358</v>
      </c>
      <c r="N110">
        <v>586</v>
      </c>
      <c r="O110">
        <v>358</v>
      </c>
      <c r="P110">
        <v>17</v>
      </c>
      <c r="Q110">
        <v>1</v>
      </c>
      <c r="R110">
        <v>3.189702</v>
      </c>
      <c r="S110" t="s">
        <v>27</v>
      </c>
      <c r="T110">
        <v>7.9565699999999996E-4</v>
      </c>
      <c r="U110">
        <v>3.160688E-3</v>
      </c>
      <c r="V110">
        <v>8</v>
      </c>
      <c r="W110">
        <v>7</v>
      </c>
      <c r="X110">
        <v>86</v>
      </c>
      <c r="Y110">
        <v>1762</v>
      </c>
      <c r="AC110">
        <f>U110/U111</f>
        <v>0.79149042517573653</v>
      </c>
      <c r="AD110">
        <f t="shared" ref="AD110" si="52">I110-I111</f>
        <v>0</v>
      </c>
    </row>
    <row r="111" spans="1:30" x14ac:dyDescent="0.25">
      <c r="A111">
        <v>2.9900080000000002E-3</v>
      </c>
      <c r="B111">
        <v>2.9380952380952299</v>
      </c>
      <c r="C111">
        <v>12.625</v>
      </c>
      <c r="D111">
        <v>126</v>
      </c>
      <c r="E111">
        <v>33</v>
      </c>
      <c r="F111">
        <v>1762</v>
      </c>
      <c r="G111" t="s">
        <v>25</v>
      </c>
      <c r="H111">
        <v>54</v>
      </c>
      <c r="I111">
        <v>112</v>
      </c>
      <c r="J111">
        <v>1762</v>
      </c>
      <c r="K111">
        <v>8</v>
      </c>
      <c r="L111" t="s">
        <v>82</v>
      </c>
      <c r="M111">
        <v>358</v>
      </c>
      <c r="N111">
        <v>617</v>
      </c>
      <c r="O111">
        <v>358</v>
      </c>
      <c r="P111">
        <v>19</v>
      </c>
      <c r="Q111">
        <v>1</v>
      </c>
      <c r="R111">
        <v>4.0497519999999998</v>
      </c>
      <c r="S111" t="s">
        <v>28</v>
      </c>
      <c r="T111">
        <v>1.003781E-3</v>
      </c>
      <c r="U111">
        <v>3.9933369999999996E-3</v>
      </c>
      <c r="V111">
        <v>8</v>
      </c>
      <c r="W111">
        <v>8</v>
      </c>
      <c r="X111">
        <v>83</v>
      </c>
      <c r="Y111">
        <v>1762</v>
      </c>
    </row>
    <row r="112" spans="1:30" x14ac:dyDescent="0.25">
      <c r="A112">
        <v>0.11107462300000701</v>
      </c>
      <c r="B112">
        <v>4.8419618528610302</v>
      </c>
      <c r="C112">
        <v>19.888889312744102</v>
      </c>
      <c r="D112">
        <v>4862</v>
      </c>
      <c r="E112">
        <v>33</v>
      </c>
      <c r="G112" t="s">
        <v>25</v>
      </c>
      <c r="H112">
        <v>55</v>
      </c>
      <c r="I112">
        <v>1305</v>
      </c>
      <c r="J112">
        <v>20553</v>
      </c>
      <c r="K112">
        <v>29</v>
      </c>
      <c r="L112" t="s">
        <v>83</v>
      </c>
      <c r="M112">
        <v>3600</v>
      </c>
      <c r="N112">
        <v>5331</v>
      </c>
      <c r="O112">
        <v>3600</v>
      </c>
      <c r="P112">
        <v>1261</v>
      </c>
      <c r="Q112">
        <v>1</v>
      </c>
      <c r="R112">
        <v>120000</v>
      </c>
      <c r="S112" t="s">
        <v>27</v>
      </c>
      <c r="T112">
        <v>120.086721981</v>
      </c>
      <c r="U112">
        <v>120.197795924</v>
      </c>
      <c r="V112">
        <v>27</v>
      </c>
      <c r="W112">
        <v>43</v>
      </c>
      <c r="X112">
        <v>0</v>
      </c>
      <c r="Y112">
        <v>2147483647</v>
      </c>
      <c r="AC112">
        <f>U112/U113</f>
        <v>0.99827479716687639</v>
      </c>
      <c r="AD112">
        <f t="shared" ref="AD112" si="53">I112-I113</f>
        <v>201</v>
      </c>
    </row>
    <row r="113" spans="1:30" x14ac:dyDescent="0.25">
      <c r="A113">
        <v>9.9447335000007797E-2</v>
      </c>
      <c r="B113">
        <v>6.0499545867393199</v>
      </c>
      <c r="C113">
        <v>19.888889312744102</v>
      </c>
      <c r="D113">
        <v>4862</v>
      </c>
      <c r="E113">
        <v>33</v>
      </c>
      <c r="G113" t="s">
        <v>25</v>
      </c>
      <c r="H113">
        <v>55</v>
      </c>
      <c r="I113">
        <v>1104</v>
      </c>
      <c r="J113">
        <v>20833</v>
      </c>
      <c r="K113">
        <v>29</v>
      </c>
      <c r="L113" t="s">
        <v>83</v>
      </c>
      <c r="M113">
        <v>3630</v>
      </c>
      <c r="N113">
        <v>6661</v>
      </c>
      <c r="O113">
        <v>3630</v>
      </c>
      <c r="P113">
        <v>1063</v>
      </c>
      <c r="Q113">
        <v>1</v>
      </c>
      <c r="R113">
        <v>120000</v>
      </c>
      <c r="S113" t="s">
        <v>28</v>
      </c>
      <c r="T113">
        <v>120.30607333899999</v>
      </c>
      <c r="U113">
        <v>120.405519868</v>
      </c>
      <c r="V113">
        <v>27</v>
      </c>
      <c r="W113">
        <v>40</v>
      </c>
      <c r="X113">
        <v>0</v>
      </c>
      <c r="Y113">
        <v>2147483647</v>
      </c>
    </row>
    <row r="114" spans="1:30" x14ac:dyDescent="0.25">
      <c r="A114">
        <v>8.0962544000001899E-2</v>
      </c>
      <c r="B114">
        <v>5.1326034063260302</v>
      </c>
      <c r="C114">
        <v>20.049999237060501</v>
      </c>
      <c r="D114">
        <v>2616</v>
      </c>
      <c r="E114">
        <v>33</v>
      </c>
      <c r="F114">
        <v>7655</v>
      </c>
      <c r="G114" t="s">
        <v>25</v>
      </c>
      <c r="H114">
        <v>56</v>
      </c>
      <c r="I114">
        <v>882</v>
      </c>
      <c r="J114">
        <v>7655</v>
      </c>
      <c r="K114">
        <v>25</v>
      </c>
      <c r="L114" t="s">
        <v>84</v>
      </c>
      <c r="M114">
        <v>3028</v>
      </c>
      <c r="N114">
        <v>4219</v>
      </c>
      <c r="O114">
        <v>3028</v>
      </c>
      <c r="P114">
        <v>737</v>
      </c>
      <c r="Q114">
        <v>1</v>
      </c>
      <c r="R114">
        <v>108725.661028</v>
      </c>
      <c r="S114" t="s">
        <v>27</v>
      </c>
      <c r="T114">
        <v>106.671560935</v>
      </c>
      <c r="U114">
        <v>106.752522548</v>
      </c>
      <c r="V114">
        <v>20</v>
      </c>
      <c r="W114">
        <v>94</v>
      </c>
      <c r="X114">
        <v>49</v>
      </c>
      <c r="Y114">
        <v>7655</v>
      </c>
      <c r="AC114">
        <f>U114/U115</f>
        <v>0.88905464601864415</v>
      </c>
      <c r="AD114">
        <f t="shared" ref="AD114" si="54">I114-I115</f>
        <v>-19</v>
      </c>
    </row>
    <row r="115" spans="1:30" x14ac:dyDescent="0.25">
      <c r="A115">
        <v>8.0299787000001205E-2</v>
      </c>
      <c r="B115">
        <v>5.6447688564476799</v>
      </c>
      <c r="C115">
        <v>20.049999237060501</v>
      </c>
      <c r="D115">
        <v>2616</v>
      </c>
      <c r="E115">
        <v>33</v>
      </c>
      <c r="G115" t="s">
        <v>25</v>
      </c>
      <c r="H115">
        <v>56</v>
      </c>
      <c r="I115">
        <v>901</v>
      </c>
      <c r="J115">
        <v>7542</v>
      </c>
      <c r="K115">
        <v>22</v>
      </c>
      <c r="L115" t="s">
        <v>84</v>
      </c>
      <c r="M115">
        <v>2872</v>
      </c>
      <c r="N115">
        <v>4640</v>
      </c>
      <c r="O115">
        <v>2872</v>
      </c>
      <c r="P115">
        <v>807</v>
      </c>
      <c r="Q115">
        <v>1</v>
      </c>
      <c r="R115">
        <v>120000</v>
      </c>
      <c r="S115" t="s">
        <v>28</v>
      </c>
      <c r="T115">
        <v>119.99389777499999</v>
      </c>
      <c r="U115">
        <v>120.074196818</v>
      </c>
      <c r="V115">
        <v>20</v>
      </c>
      <c r="W115">
        <v>82</v>
      </c>
      <c r="X115">
        <v>11</v>
      </c>
      <c r="Y115">
        <v>2147483647</v>
      </c>
    </row>
    <row r="116" spans="1:30" x14ac:dyDescent="0.25">
      <c r="A116">
        <v>3.8604009000000099E-2</v>
      </c>
      <c r="B116">
        <v>4.0692913385826701</v>
      </c>
      <c r="C116">
        <v>18.176469802856399</v>
      </c>
      <c r="D116">
        <v>1632</v>
      </c>
      <c r="E116">
        <v>33</v>
      </c>
      <c r="F116">
        <v>6565</v>
      </c>
      <c r="G116" t="s">
        <v>25</v>
      </c>
      <c r="H116">
        <v>57</v>
      </c>
      <c r="I116">
        <v>613</v>
      </c>
      <c r="J116">
        <v>6565</v>
      </c>
      <c r="K116">
        <v>26</v>
      </c>
      <c r="L116" t="s">
        <v>85</v>
      </c>
      <c r="M116">
        <v>1749</v>
      </c>
      <c r="N116">
        <v>2584</v>
      </c>
      <c r="O116">
        <v>1749</v>
      </c>
      <c r="P116">
        <v>446</v>
      </c>
      <c r="Q116">
        <v>1</v>
      </c>
      <c r="R116">
        <v>6208.106839</v>
      </c>
      <c r="S116" t="s">
        <v>27</v>
      </c>
      <c r="T116">
        <v>6.1680075199999997</v>
      </c>
      <c r="U116">
        <v>6.2066109669999996</v>
      </c>
      <c r="V116">
        <v>17</v>
      </c>
      <c r="W116">
        <v>86</v>
      </c>
      <c r="X116">
        <v>79</v>
      </c>
      <c r="Y116">
        <v>6565</v>
      </c>
      <c r="AC116">
        <f>U116/U117</f>
        <v>0.71365962599509369</v>
      </c>
      <c r="AD116">
        <f t="shared" ref="AD116" si="55">I116-I117</f>
        <v>8</v>
      </c>
    </row>
    <row r="117" spans="1:30" x14ac:dyDescent="0.25">
      <c r="A117">
        <v>4.0645432999999898E-2</v>
      </c>
      <c r="B117">
        <v>4.2881889763779499</v>
      </c>
      <c r="C117">
        <v>18.176469802856399</v>
      </c>
      <c r="D117">
        <v>1632</v>
      </c>
      <c r="E117">
        <v>33</v>
      </c>
      <c r="F117">
        <v>6565</v>
      </c>
      <c r="G117" t="s">
        <v>25</v>
      </c>
      <c r="H117">
        <v>57</v>
      </c>
      <c r="I117">
        <v>605</v>
      </c>
      <c r="J117">
        <v>6565</v>
      </c>
      <c r="K117">
        <v>23</v>
      </c>
      <c r="L117" t="s">
        <v>85</v>
      </c>
      <c r="M117">
        <v>1593</v>
      </c>
      <c r="N117">
        <v>2723</v>
      </c>
      <c r="O117">
        <v>1593</v>
      </c>
      <c r="P117">
        <v>474</v>
      </c>
      <c r="Q117">
        <v>1</v>
      </c>
      <c r="R117">
        <v>8698.9310349999996</v>
      </c>
      <c r="S117" t="s">
        <v>28</v>
      </c>
      <c r="T117">
        <v>8.6562335239999992</v>
      </c>
      <c r="U117">
        <v>8.6968783730000006</v>
      </c>
      <c r="V117">
        <v>17</v>
      </c>
      <c r="W117">
        <v>78</v>
      </c>
      <c r="X117">
        <v>51</v>
      </c>
      <c r="Y117">
        <v>6565</v>
      </c>
    </row>
    <row r="118" spans="1:30" x14ac:dyDescent="0.25">
      <c r="A118">
        <v>0.114207983</v>
      </c>
      <c r="B118">
        <v>5.1429745275267003</v>
      </c>
      <c r="C118">
        <v>20.482759475708001</v>
      </c>
      <c r="D118">
        <v>6144</v>
      </c>
      <c r="E118">
        <v>33</v>
      </c>
      <c r="G118" t="s">
        <v>25</v>
      </c>
      <c r="H118">
        <v>58</v>
      </c>
      <c r="I118">
        <v>1253</v>
      </c>
      <c r="J118">
        <v>5557</v>
      </c>
      <c r="K118">
        <v>47</v>
      </c>
      <c r="L118" t="s">
        <v>86</v>
      </c>
      <c r="M118">
        <v>4211</v>
      </c>
      <c r="N118">
        <v>6259</v>
      </c>
      <c r="O118">
        <v>4211</v>
      </c>
      <c r="P118">
        <v>1212</v>
      </c>
      <c r="Q118">
        <v>1</v>
      </c>
      <c r="R118">
        <v>120000</v>
      </c>
      <c r="S118" t="s">
        <v>27</v>
      </c>
      <c r="T118">
        <v>119.936353263</v>
      </c>
      <c r="U118">
        <v>120.050560574</v>
      </c>
      <c r="V118">
        <v>29</v>
      </c>
      <c r="W118">
        <v>40</v>
      </c>
      <c r="X118">
        <v>0</v>
      </c>
      <c r="Y118">
        <v>2147483647</v>
      </c>
      <c r="AC118">
        <f>U118/U119</f>
        <v>0.99999082792370853</v>
      </c>
      <c r="AD118">
        <f t="shared" ref="AD118" si="56">I118-I119</f>
        <v>-235</v>
      </c>
    </row>
    <row r="119" spans="1:30" x14ac:dyDescent="0.25">
      <c r="A119">
        <v>0.12861589799999201</v>
      </c>
      <c r="B119">
        <v>5.7329498767460896</v>
      </c>
      <c r="C119">
        <v>20.482759475708001</v>
      </c>
      <c r="D119">
        <v>6144</v>
      </c>
      <c r="E119">
        <v>33</v>
      </c>
      <c r="G119" t="s">
        <v>25</v>
      </c>
      <c r="H119">
        <v>58</v>
      </c>
      <c r="I119">
        <v>1488</v>
      </c>
      <c r="J119">
        <v>4965</v>
      </c>
      <c r="K119">
        <v>60</v>
      </c>
      <c r="L119" t="s">
        <v>86</v>
      </c>
      <c r="M119">
        <v>3357</v>
      </c>
      <c r="N119">
        <v>6977</v>
      </c>
      <c r="O119">
        <v>3357</v>
      </c>
      <c r="P119">
        <v>1454</v>
      </c>
      <c r="Q119">
        <v>1</v>
      </c>
      <c r="R119">
        <v>120000</v>
      </c>
      <c r="S119" t="s">
        <v>28</v>
      </c>
      <c r="T119">
        <v>119.92304630700001</v>
      </c>
      <c r="U119">
        <v>120.051661697</v>
      </c>
      <c r="V119">
        <v>29</v>
      </c>
      <c r="W119">
        <v>33</v>
      </c>
      <c r="X119">
        <v>0</v>
      </c>
      <c r="Y119">
        <v>2147483647</v>
      </c>
    </row>
    <row r="120" spans="1:30" x14ac:dyDescent="0.25">
      <c r="A120">
        <v>0.118211710000011</v>
      </c>
      <c r="B120">
        <v>5.0144694533761998</v>
      </c>
      <c r="C120">
        <v>21.714284896850501</v>
      </c>
      <c r="D120">
        <v>6393</v>
      </c>
      <c r="E120">
        <v>33</v>
      </c>
      <c r="G120" t="s">
        <v>25</v>
      </c>
      <c r="H120">
        <v>59</v>
      </c>
      <c r="I120">
        <v>1277</v>
      </c>
      <c r="J120">
        <v>6401</v>
      </c>
      <c r="K120">
        <v>50</v>
      </c>
      <c r="L120" t="s">
        <v>87</v>
      </c>
      <c r="M120">
        <v>4123</v>
      </c>
      <c r="N120">
        <v>6238</v>
      </c>
      <c r="O120">
        <v>4123</v>
      </c>
      <c r="P120">
        <v>1238</v>
      </c>
      <c r="Q120">
        <v>1</v>
      </c>
      <c r="R120">
        <v>120000</v>
      </c>
      <c r="S120" t="s">
        <v>27</v>
      </c>
      <c r="T120">
        <v>119.90118339999999</v>
      </c>
      <c r="U120">
        <v>120.01939447399999</v>
      </c>
      <c r="V120">
        <v>28</v>
      </c>
      <c r="W120">
        <v>38</v>
      </c>
      <c r="X120">
        <v>0</v>
      </c>
      <c r="Y120">
        <v>2147483647</v>
      </c>
      <c r="AC120">
        <f>U120/U121</f>
        <v>0.99752629122032244</v>
      </c>
      <c r="AD120">
        <f t="shared" ref="AD120" si="57">I120-I121</f>
        <v>63</v>
      </c>
    </row>
    <row r="121" spans="1:30" x14ac:dyDescent="0.25">
      <c r="A121">
        <v>0.11716353599999201</v>
      </c>
      <c r="B121">
        <v>5.4364951768488696</v>
      </c>
      <c r="C121">
        <v>21.714284896850501</v>
      </c>
      <c r="D121">
        <v>6393</v>
      </c>
      <c r="E121">
        <v>33</v>
      </c>
      <c r="G121" t="s">
        <v>25</v>
      </c>
      <c r="H121">
        <v>59</v>
      </c>
      <c r="I121">
        <v>1214</v>
      </c>
      <c r="J121">
        <v>5972</v>
      </c>
      <c r="K121">
        <v>59</v>
      </c>
      <c r="L121" t="s">
        <v>87</v>
      </c>
      <c r="M121">
        <v>3130</v>
      </c>
      <c r="N121">
        <v>6763</v>
      </c>
      <c r="O121">
        <v>3130</v>
      </c>
      <c r="P121">
        <v>1183</v>
      </c>
      <c r="Q121">
        <v>1</v>
      </c>
      <c r="R121">
        <v>120000</v>
      </c>
      <c r="S121" t="s">
        <v>28</v>
      </c>
      <c r="T121">
        <v>120.19986086500001</v>
      </c>
      <c r="U121">
        <v>120.317023752</v>
      </c>
      <c r="V121">
        <v>28</v>
      </c>
      <c r="W121">
        <v>30</v>
      </c>
      <c r="X121">
        <v>0</v>
      </c>
      <c r="Y121">
        <v>2147483647</v>
      </c>
    </row>
    <row r="122" spans="1:30" x14ac:dyDescent="0.25">
      <c r="A122">
        <v>8.0193784000002197E-2</v>
      </c>
      <c r="B122">
        <v>4.3052959501557604</v>
      </c>
      <c r="C122">
        <v>17.3333339691162</v>
      </c>
      <c r="D122">
        <v>2022</v>
      </c>
      <c r="E122">
        <v>25</v>
      </c>
      <c r="F122">
        <v>4246</v>
      </c>
      <c r="G122" t="s">
        <v>25</v>
      </c>
      <c r="H122">
        <v>60</v>
      </c>
      <c r="I122">
        <v>834</v>
      </c>
      <c r="J122">
        <v>4246</v>
      </c>
      <c r="K122">
        <v>18</v>
      </c>
      <c r="L122" t="s">
        <v>88</v>
      </c>
      <c r="M122">
        <v>1928</v>
      </c>
      <c r="N122">
        <v>2764</v>
      </c>
      <c r="O122">
        <v>1928</v>
      </c>
      <c r="P122">
        <v>668</v>
      </c>
      <c r="Q122">
        <v>1</v>
      </c>
      <c r="R122">
        <v>101922.741656</v>
      </c>
      <c r="S122" t="s">
        <v>27</v>
      </c>
      <c r="T122">
        <v>99.903238001999995</v>
      </c>
      <c r="U122">
        <v>99.983431323999994</v>
      </c>
      <c r="V122">
        <v>18</v>
      </c>
      <c r="W122">
        <v>60</v>
      </c>
      <c r="X122">
        <v>104</v>
      </c>
      <c r="Y122">
        <v>4246</v>
      </c>
      <c r="AC122">
        <f>U122/U123</f>
        <v>0.83103508314061325</v>
      </c>
      <c r="AD122">
        <f t="shared" ref="AD122" si="58">I122-I123</f>
        <v>-294</v>
      </c>
    </row>
    <row r="123" spans="1:30" x14ac:dyDescent="0.25">
      <c r="A123">
        <v>0.101127945000001</v>
      </c>
      <c r="B123">
        <v>4.6931464174454796</v>
      </c>
      <c r="C123">
        <v>17.3333339691162</v>
      </c>
      <c r="D123">
        <v>2022</v>
      </c>
      <c r="E123">
        <v>25</v>
      </c>
      <c r="G123" t="s">
        <v>25</v>
      </c>
      <c r="H123">
        <v>60</v>
      </c>
      <c r="I123">
        <v>1128</v>
      </c>
      <c r="J123">
        <v>4236</v>
      </c>
      <c r="K123">
        <v>22</v>
      </c>
      <c r="L123" t="s">
        <v>88</v>
      </c>
      <c r="M123">
        <v>1859</v>
      </c>
      <c r="N123">
        <v>3013</v>
      </c>
      <c r="O123">
        <v>1859</v>
      </c>
      <c r="P123">
        <v>996</v>
      </c>
      <c r="Q123">
        <v>1</v>
      </c>
      <c r="R123">
        <v>120000</v>
      </c>
      <c r="S123" t="s">
        <v>28</v>
      </c>
      <c r="T123">
        <v>120.210798465</v>
      </c>
      <c r="U123">
        <v>120.31192587699999</v>
      </c>
      <c r="V123">
        <v>18</v>
      </c>
      <c r="W123">
        <v>66</v>
      </c>
      <c r="X123">
        <v>64</v>
      </c>
      <c r="Y123">
        <v>2147483647</v>
      </c>
    </row>
    <row r="124" spans="1:30" x14ac:dyDescent="0.25">
      <c r="A124">
        <v>1.3280549999999901E-3</v>
      </c>
      <c r="B124">
        <v>1.8954248366013</v>
      </c>
      <c r="C124">
        <v>14.800000190734799</v>
      </c>
      <c r="D124">
        <v>87</v>
      </c>
      <c r="E124">
        <v>25</v>
      </c>
      <c r="F124">
        <v>4798</v>
      </c>
      <c r="G124" t="s">
        <v>25</v>
      </c>
      <c r="H124">
        <v>61</v>
      </c>
      <c r="I124">
        <v>49</v>
      </c>
      <c r="J124">
        <v>4798</v>
      </c>
      <c r="K124">
        <v>6</v>
      </c>
      <c r="L124" t="s">
        <v>89</v>
      </c>
      <c r="M124">
        <v>120</v>
      </c>
      <c r="N124">
        <v>290</v>
      </c>
      <c r="O124">
        <v>120</v>
      </c>
      <c r="P124">
        <v>8</v>
      </c>
      <c r="Q124">
        <v>1</v>
      </c>
      <c r="R124">
        <v>1.621991</v>
      </c>
      <c r="S124" t="s">
        <v>27</v>
      </c>
      <c r="T124">
        <v>2.6744200000000001E-4</v>
      </c>
      <c r="U124">
        <v>1.5949270000000001E-3</v>
      </c>
      <c r="V124">
        <v>5</v>
      </c>
      <c r="W124">
        <v>4</v>
      </c>
      <c r="X124">
        <v>35</v>
      </c>
      <c r="Y124">
        <v>4798</v>
      </c>
      <c r="AC124">
        <f>U124/U125</f>
        <v>1.9528538684193772</v>
      </c>
      <c r="AD124">
        <f t="shared" ref="AD124" si="59">I124-I125</f>
        <v>1</v>
      </c>
    </row>
    <row r="125" spans="1:30" x14ac:dyDescent="0.25">
      <c r="A125">
        <v>7.0057699999999997E-4</v>
      </c>
      <c r="B125">
        <v>2.0326797385620901</v>
      </c>
      <c r="C125">
        <v>14.800000190734799</v>
      </c>
      <c r="D125">
        <v>87</v>
      </c>
      <c r="E125">
        <v>25</v>
      </c>
      <c r="F125">
        <v>4798</v>
      </c>
      <c r="G125" t="s">
        <v>25</v>
      </c>
      <c r="H125">
        <v>61</v>
      </c>
      <c r="I125">
        <v>48</v>
      </c>
      <c r="J125">
        <v>4798</v>
      </c>
      <c r="K125">
        <v>6</v>
      </c>
      <c r="L125" t="s">
        <v>89</v>
      </c>
      <c r="M125">
        <v>114</v>
      </c>
      <c r="N125">
        <v>311</v>
      </c>
      <c r="O125">
        <v>114</v>
      </c>
      <c r="P125">
        <v>9</v>
      </c>
      <c r="Q125">
        <v>1</v>
      </c>
      <c r="R125">
        <v>0.84398300000000004</v>
      </c>
      <c r="S125" t="s">
        <v>28</v>
      </c>
      <c r="T125">
        <v>1.1650999999999999E-4</v>
      </c>
      <c r="U125">
        <v>8.1671599999999999E-4</v>
      </c>
      <c r="V125">
        <v>5</v>
      </c>
      <c r="W125">
        <v>6</v>
      </c>
      <c r="X125">
        <v>31</v>
      </c>
      <c r="Y125">
        <v>4798</v>
      </c>
    </row>
    <row r="126" spans="1:30" x14ac:dyDescent="0.25">
      <c r="A126">
        <v>1.2802219999999999E-3</v>
      </c>
      <c r="B126">
        <v>2.9595375722543298</v>
      </c>
      <c r="C126">
        <v>16.799999237060501</v>
      </c>
      <c r="D126">
        <v>136</v>
      </c>
      <c r="E126">
        <v>20</v>
      </c>
      <c r="F126">
        <v>674</v>
      </c>
      <c r="G126" t="s">
        <v>25</v>
      </c>
      <c r="H126">
        <v>62</v>
      </c>
      <c r="I126">
        <v>75</v>
      </c>
      <c r="J126">
        <v>674</v>
      </c>
      <c r="K126">
        <v>7</v>
      </c>
      <c r="L126" t="s">
        <v>90</v>
      </c>
      <c r="M126">
        <v>313</v>
      </c>
      <c r="N126">
        <v>512</v>
      </c>
      <c r="O126">
        <v>313</v>
      </c>
      <c r="P126">
        <v>11</v>
      </c>
      <c r="Q126">
        <v>1</v>
      </c>
      <c r="R126">
        <v>1.6114980000000001</v>
      </c>
      <c r="S126" t="s">
        <v>27</v>
      </c>
      <c r="T126">
        <v>3.0928800000000001E-4</v>
      </c>
      <c r="U126">
        <v>1.589016E-3</v>
      </c>
      <c r="V126">
        <v>5</v>
      </c>
      <c r="W126">
        <v>11</v>
      </c>
      <c r="X126">
        <v>51</v>
      </c>
      <c r="Y126">
        <v>674</v>
      </c>
      <c r="AC126">
        <f>U126/U127</f>
        <v>1.1608994871345286</v>
      </c>
      <c r="AD126">
        <f t="shared" ref="AD126" si="60">I126-I127</f>
        <v>4</v>
      </c>
    </row>
    <row r="127" spans="1:30" x14ac:dyDescent="0.25">
      <c r="A127">
        <v>1.1047369999999999E-3</v>
      </c>
      <c r="B127">
        <v>2.6705202312138701</v>
      </c>
      <c r="C127">
        <v>16.799999237060501</v>
      </c>
      <c r="D127">
        <v>136</v>
      </c>
      <c r="E127">
        <v>20</v>
      </c>
      <c r="F127">
        <v>674</v>
      </c>
      <c r="G127" t="s">
        <v>25</v>
      </c>
      <c r="H127">
        <v>62</v>
      </c>
      <c r="I127">
        <v>71</v>
      </c>
      <c r="J127">
        <v>674</v>
      </c>
      <c r="K127">
        <v>7</v>
      </c>
      <c r="L127" t="s">
        <v>90</v>
      </c>
      <c r="M127">
        <v>237</v>
      </c>
      <c r="N127">
        <v>462</v>
      </c>
      <c r="O127">
        <v>237</v>
      </c>
      <c r="P127">
        <v>10</v>
      </c>
      <c r="Q127">
        <v>1</v>
      </c>
      <c r="R127">
        <v>1.391294</v>
      </c>
      <c r="S127" t="s">
        <v>28</v>
      </c>
      <c r="T127">
        <v>2.6437999999999999E-4</v>
      </c>
      <c r="U127">
        <v>1.36878E-3</v>
      </c>
      <c r="V127">
        <v>5</v>
      </c>
      <c r="W127">
        <v>7</v>
      </c>
      <c r="X127">
        <v>52</v>
      </c>
      <c r="Y127">
        <v>674</v>
      </c>
    </row>
    <row r="128" spans="1:30" x14ac:dyDescent="0.25">
      <c r="A128">
        <v>4.4260845000000097E-2</v>
      </c>
      <c r="B128">
        <v>4.9680851063829703</v>
      </c>
      <c r="C128">
        <v>15.949999809265099</v>
      </c>
      <c r="D128">
        <v>2246</v>
      </c>
      <c r="E128">
        <v>25</v>
      </c>
      <c r="F128">
        <v>62616</v>
      </c>
      <c r="G128" t="s">
        <v>25</v>
      </c>
      <c r="H128">
        <v>63</v>
      </c>
      <c r="I128">
        <v>553</v>
      </c>
      <c r="J128">
        <v>62616</v>
      </c>
      <c r="K128">
        <v>23</v>
      </c>
      <c r="L128" t="s">
        <v>91</v>
      </c>
      <c r="M128">
        <v>2352</v>
      </c>
      <c r="N128">
        <v>3269</v>
      </c>
      <c r="O128">
        <v>2352</v>
      </c>
      <c r="P128">
        <v>420</v>
      </c>
      <c r="Q128">
        <v>1</v>
      </c>
      <c r="R128">
        <v>11367.534914</v>
      </c>
      <c r="S128" t="s">
        <v>27</v>
      </c>
      <c r="T128">
        <v>11.321268822</v>
      </c>
      <c r="U128">
        <v>11.365528946</v>
      </c>
      <c r="V128">
        <v>20</v>
      </c>
      <c r="W128">
        <v>93</v>
      </c>
      <c r="X128">
        <v>38</v>
      </c>
      <c r="Y128">
        <v>62616</v>
      </c>
      <c r="AC128">
        <f>U128/U129</f>
        <v>2.1229801743385797</v>
      </c>
      <c r="AD128">
        <f t="shared" ref="AD128" si="61">I128-I129</f>
        <v>95</v>
      </c>
    </row>
    <row r="129" spans="1:30" x14ac:dyDescent="0.25">
      <c r="A129">
        <v>3.6136493999999901E-2</v>
      </c>
      <c r="B129">
        <v>5.5547112462005996</v>
      </c>
      <c r="C129">
        <v>15.949999809265099</v>
      </c>
      <c r="D129">
        <v>2246</v>
      </c>
      <c r="E129">
        <v>25</v>
      </c>
      <c r="F129">
        <v>62616</v>
      </c>
      <c r="G129" t="s">
        <v>25</v>
      </c>
      <c r="H129">
        <v>63</v>
      </c>
      <c r="I129">
        <v>458</v>
      </c>
      <c r="J129">
        <v>62616</v>
      </c>
      <c r="K129">
        <v>22</v>
      </c>
      <c r="L129" t="s">
        <v>91</v>
      </c>
      <c r="M129">
        <v>2245</v>
      </c>
      <c r="N129">
        <v>3655</v>
      </c>
      <c r="O129">
        <v>2245</v>
      </c>
      <c r="P129">
        <v>326</v>
      </c>
      <c r="Q129">
        <v>1</v>
      </c>
      <c r="R129">
        <v>5355.25929</v>
      </c>
      <c r="S129" t="s">
        <v>28</v>
      </c>
      <c r="T129">
        <v>5.3174369639999997</v>
      </c>
      <c r="U129">
        <v>5.3535728139999996</v>
      </c>
      <c r="V129">
        <v>20</v>
      </c>
      <c r="W129">
        <v>92</v>
      </c>
      <c r="X129">
        <v>38</v>
      </c>
      <c r="Y129">
        <v>62616</v>
      </c>
    </row>
    <row r="130" spans="1:30" x14ac:dyDescent="0.25">
      <c r="A130">
        <v>2.652944E-3</v>
      </c>
      <c r="B130">
        <v>4.8087431693989</v>
      </c>
      <c r="C130">
        <v>17.799999237060501</v>
      </c>
      <c r="D130">
        <v>136</v>
      </c>
      <c r="E130">
        <v>25</v>
      </c>
      <c r="F130">
        <v>1485</v>
      </c>
      <c r="G130" t="s">
        <v>25</v>
      </c>
      <c r="H130">
        <v>64</v>
      </c>
      <c r="I130">
        <v>107</v>
      </c>
      <c r="J130">
        <v>1485</v>
      </c>
      <c r="K130">
        <v>20</v>
      </c>
      <c r="L130" t="s">
        <v>92</v>
      </c>
      <c r="M130">
        <v>651</v>
      </c>
      <c r="N130">
        <v>880</v>
      </c>
      <c r="O130">
        <v>651</v>
      </c>
      <c r="P130">
        <v>21</v>
      </c>
      <c r="Q130">
        <v>1</v>
      </c>
      <c r="R130">
        <v>4.3198939999999997</v>
      </c>
      <c r="S130" t="s">
        <v>27</v>
      </c>
      <c r="T130">
        <v>1.634225E-3</v>
      </c>
      <c r="U130">
        <v>4.2865220000000001E-3</v>
      </c>
      <c r="V130">
        <v>5</v>
      </c>
      <c r="W130">
        <v>46</v>
      </c>
      <c r="X130">
        <v>38</v>
      </c>
      <c r="Y130">
        <v>1485</v>
      </c>
      <c r="AC130">
        <f>U130/U131</f>
        <v>1.7593605999649484</v>
      </c>
      <c r="AD130">
        <f t="shared" ref="AD130" si="62">I130-I131</f>
        <v>25</v>
      </c>
    </row>
    <row r="131" spans="1:30" x14ac:dyDescent="0.25">
      <c r="A131">
        <v>1.6899179999999899E-3</v>
      </c>
      <c r="B131">
        <v>4.1639344262294999</v>
      </c>
      <c r="C131">
        <v>17.799999237060501</v>
      </c>
      <c r="D131">
        <v>136</v>
      </c>
      <c r="E131">
        <v>25</v>
      </c>
      <c r="F131">
        <v>1485</v>
      </c>
      <c r="G131" t="s">
        <v>25</v>
      </c>
      <c r="H131">
        <v>64</v>
      </c>
      <c r="I131">
        <v>82</v>
      </c>
      <c r="J131">
        <v>1485</v>
      </c>
      <c r="K131">
        <v>12</v>
      </c>
      <c r="L131" t="s">
        <v>92</v>
      </c>
      <c r="M131">
        <v>449</v>
      </c>
      <c r="N131">
        <v>762</v>
      </c>
      <c r="O131">
        <v>449</v>
      </c>
      <c r="P131">
        <v>16</v>
      </c>
      <c r="Q131">
        <v>1</v>
      </c>
      <c r="R131">
        <v>2.4767100000000002</v>
      </c>
      <c r="S131" t="s">
        <v>28</v>
      </c>
      <c r="T131">
        <v>7.4695700000000002E-4</v>
      </c>
      <c r="U131">
        <v>2.4364090000000001E-3</v>
      </c>
      <c r="V131">
        <v>5</v>
      </c>
      <c r="W131">
        <v>27</v>
      </c>
      <c r="X131">
        <v>37</v>
      </c>
      <c r="Y131">
        <v>1485</v>
      </c>
    </row>
    <row r="132" spans="1:30" x14ac:dyDescent="0.25">
      <c r="A132">
        <v>8.3695999999999998E-4</v>
      </c>
      <c r="B132">
        <v>1.9299363057324801</v>
      </c>
      <c r="C132">
        <v>15.199999809265099</v>
      </c>
      <c r="D132">
        <v>93</v>
      </c>
      <c r="E132">
        <v>25</v>
      </c>
      <c r="F132">
        <v>461</v>
      </c>
      <c r="G132" t="s">
        <v>25</v>
      </c>
      <c r="H132">
        <v>65</v>
      </c>
      <c r="I132">
        <v>46</v>
      </c>
      <c r="J132">
        <v>461</v>
      </c>
      <c r="K132">
        <v>4</v>
      </c>
      <c r="L132" t="s">
        <v>93</v>
      </c>
      <c r="M132">
        <v>137</v>
      </c>
      <c r="N132">
        <v>303</v>
      </c>
      <c r="O132">
        <v>137</v>
      </c>
      <c r="P132">
        <v>5</v>
      </c>
      <c r="Q132">
        <v>1</v>
      </c>
      <c r="R132">
        <v>0.93447899999999995</v>
      </c>
      <c r="S132" t="s">
        <v>27</v>
      </c>
      <c r="T132" s="1">
        <v>8.3157000000000004E-5</v>
      </c>
      <c r="U132">
        <v>9.1962499999999998E-4</v>
      </c>
      <c r="V132">
        <v>5</v>
      </c>
      <c r="W132">
        <v>3</v>
      </c>
      <c r="X132">
        <v>36</v>
      </c>
      <c r="Y132">
        <v>461</v>
      </c>
      <c r="AC132">
        <f>U132/U133</f>
        <v>0.99037544073524442</v>
      </c>
      <c r="AD132">
        <f t="shared" ref="AD132" si="63">I132-I133</f>
        <v>-2</v>
      </c>
    </row>
    <row r="133" spans="1:30" x14ac:dyDescent="0.25">
      <c r="A133">
        <v>8.3489800000000004E-4</v>
      </c>
      <c r="B133">
        <v>1.9617834394904401</v>
      </c>
      <c r="C133">
        <v>15.199999809265099</v>
      </c>
      <c r="D133">
        <v>93</v>
      </c>
      <c r="E133">
        <v>25</v>
      </c>
      <c r="F133">
        <v>461</v>
      </c>
      <c r="G133" t="s">
        <v>25</v>
      </c>
      <c r="H133">
        <v>65</v>
      </c>
      <c r="I133">
        <v>48</v>
      </c>
      <c r="J133">
        <v>461</v>
      </c>
      <c r="K133">
        <v>4</v>
      </c>
      <c r="L133" t="s">
        <v>93</v>
      </c>
      <c r="M133">
        <v>129</v>
      </c>
      <c r="N133">
        <v>308</v>
      </c>
      <c r="O133">
        <v>129</v>
      </c>
      <c r="P133">
        <v>5</v>
      </c>
      <c r="Q133">
        <v>1</v>
      </c>
      <c r="R133">
        <v>0.94567800000000002</v>
      </c>
      <c r="S133" t="s">
        <v>28</v>
      </c>
      <c r="T133" s="1">
        <v>9.4067000000000006E-5</v>
      </c>
      <c r="U133">
        <v>9.2856199999999996E-4</v>
      </c>
      <c r="V133">
        <v>5</v>
      </c>
      <c r="W133">
        <v>2</v>
      </c>
      <c r="X133">
        <v>39</v>
      </c>
      <c r="Y133">
        <v>461</v>
      </c>
    </row>
    <row r="134" spans="1:30" x14ac:dyDescent="0.25">
      <c r="A134">
        <v>3.64532439999996E-2</v>
      </c>
      <c r="B134">
        <v>5.3796296296296298</v>
      </c>
      <c r="C134">
        <v>15.25</v>
      </c>
      <c r="D134">
        <v>2865</v>
      </c>
      <c r="E134">
        <v>25</v>
      </c>
      <c r="F134">
        <v>59333</v>
      </c>
      <c r="G134" t="s">
        <v>25</v>
      </c>
      <c r="H134">
        <v>66</v>
      </c>
      <c r="I134">
        <v>487</v>
      </c>
      <c r="J134">
        <v>59333</v>
      </c>
      <c r="K134">
        <v>25</v>
      </c>
      <c r="L134" t="s">
        <v>94</v>
      </c>
      <c r="M134">
        <v>3011</v>
      </c>
      <c r="N134">
        <v>4067</v>
      </c>
      <c r="O134">
        <v>3011</v>
      </c>
      <c r="P134">
        <v>350</v>
      </c>
      <c r="Q134">
        <v>1</v>
      </c>
      <c r="R134">
        <v>5547.0838739999999</v>
      </c>
      <c r="S134" t="s">
        <v>27</v>
      </c>
      <c r="T134">
        <v>4.862451547</v>
      </c>
      <c r="U134">
        <v>4.8989042060000001</v>
      </c>
      <c r="V134">
        <v>24</v>
      </c>
      <c r="W134">
        <v>98</v>
      </c>
      <c r="X134">
        <v>37</v>
      </c>
      <c r="Y134">
        <v>59333</v>
      </c>
      <c r="AC134">
        <f>U134/U135</f>
        <v>0.40051196207589834</v>
      </c>
      <c r="AD134">
        <f t="shared" ref="AD134" si="64">I134-I135</f>
        <v>-110</v>
      </c>
    </row>
    <row r="135" spans="1:30" x14ac:dyDescent="0.25">
      <c r="A135">
        <v>4.9268548000000502E-2</v>
      </c>
      <c r="B135">
        <v>5.6216931216931201</v>
      </c>
      <c r="C135">
        <v>15.25</v>
      </c>
      <c r="D135">
        <v>2865</v>
      </c>
      <c r="E135">
        <v>25</v>
      </c>
      <c r="F135">
        <v>59333</v>
      </c>
      <c r="G135" t="s">
        <v>25</v>
      </c>
      <c r="H135">
        <v>66</v>
      </c>
      <c r="I135">
        <v>597</v>
      </c>
      <c r="J135">
        <v>59333</v>
      </c>
      <c r="K135">
        <v>25</v>
      </c>
      <c r="L135" t="s">
        <v>94</v>
      </c>
      <c r="M135">
        <v>2613</v>
      </c>
      <c r="N135">
        <v>4250</v>
      </c>
      <c r="O135">
        <v>2613</v>
      </c>
      <c r="P135">
        <v>475</v>
      </c>
      <c r="Q135">
        <v>1</v>
      </c>
      <c r="R135">
        <v>12233.91195</v>
      </c>
      <c r="S135" t="s">
        <v>28</v>
      </c>
      <c r="T135">
        <v>12.182337274</v>
      </c>
      <c r="U135">
        <v>12.231605220000001</v>
      </c>
      <c r="V135">
        <v>24</v>
      </c>
      <c r="W135">
        <v>89</v>
      </c>
      <c r="X135">
        <v>31</v>
      </c>
      <c r="Y135">
        <v>59333</v>
      </c>
    </row>
    <row r="136" spans="1:30" x14ac:dyDescent="0.25">
      <c r="A136">
        <v>2.3639849999999999E-3</v>
      </c>
      <c r="B136">
        <v>2.5251798561151002</v>
      </c>
      <c r="C136">
        <v>13.399999618530201</v>
      </c>
      <c r="D136">
        <v>72</v>
      </c>
      <c r="E136">
        <v>25</v>
      </c>
      <c r="F136">
        <v>2300</v>
      </c>
      <c r="G136" t="s">
        <v>25</v>
      </c>
      <c r="H136">
        <v>67</v>
      </c>
      <c r="I136">
        <v>95</v>
      </c>
      <c r="J136">
        <v>2300</v>
      </c>
      <c r="K136">
        <v>6</v>
      </c>
      <c r="L136" t="s">
        <v>95</v>
      </c>
      <c r="M136">
        <v>193</v>
      </c>
      <c r="N136">
        <v>351</v>
      </c>
      <c r="O136">
        <v>193</v>
      </c>
      <c r="P136">
        <v>11</v>
      </c>
      <c r="Q136">
        <v>1</v>
      </c>
      <c r="R136">
        <v>2.98387</v>
      </c>
      <c r="S136" t="s">
        <v>27</v>
      </c>
      <c r="T136">
        <v>5.8458700000000002E-4</v>
      </c>
      <c r="U136">
        <v>2.9481329999999999E-3</v>
      </c>
      <c r="V136">
        <v>5</v>
      </c>
      <c r="W136">
        <v>7</v>
      </c>
      <c r="X136">
        <v>75</v>
      </c>
      <c r="Y136">
        <v>2300</v>
      </c>
      <c r="AC136">
        <f>U136/U137</f>
        <v>1.7322343816560659</v>
      </c>
      <c r="AD136">
        <f t="shared" ref="AD136" si="65">I136-I137</f>
        <v>10</v>
      </c>
    </row>
    <row r="137" spans="1:30" x14ac:dyDescent="0.25">
      <c r="A137">
        <v>1.447093E-3</v>
      </c>
      <c r="B137">
        <v>2.6690647482014298</v>
      </c>
      <c r="C137">
        <v>13.399999618530201</v>
      </c>
      <c r="D137">
        <v>72</v>
      </c>
      <c r="E137">
        <v>25</v>
      </c>
      <c r="F137">
        <v>2300</v>
      </c>
      <c r="G137" t="s">
        <v>25</v>
      </c>
      <c r="H137">
        <v>67</v>
      </c>
      <c r="I137">
        <v>85</v>
      </c>
      <c r="J137">
        <v>2300</v>
      </c>
      <c r="K137">
        <v>7</v>
      </c>
      <c r="L137" t="s">
        <v>95</v>
      </c>
      <c r="M137">
        <v>182</v>
      </c>
      <c r="N137">
        <v>371</v>
      </c>
      <c r="O137">
        <v>182</v>
      </c>
      <c r="P137">
        <v>11</v>
      </c>
      <c r="Q137">
        <v>1</v>
      </c>
      <c r="R137">
        <v>1.731498</v>
      </c>
      <c r="S137" t="s">
        <v>28</v>
      </c>
      <c r="T137">
        <v>2.55226E-4</v>
      </c>
      <c r="U137">
        <v>1.701925E-3</v>
      </c>
      <c r="V137">
        <v>5</v>
      </c>
      <c r="W137">
        <v>9</v>
      </c>
      <c r="X137">
        <v>63</v>
      </c>
      <c r="Y137">
        <v>2300</v>
      </c>
    </row>
    <row r="138" spans="1:30" x14ac:dyDescent="0.25">
      <c r="A138">
        <v>2.1369549999999998E-3</v>
      </c>
      <c r="B138">
        <v>3.6395939086294402</v>
      </c>
      <c r="C138">
        <v>13.571428298950099</v>
      </c>
      <c r="D138">
        <v>150</v>
      </c>
      <c r="E138">
        <v>25</v>
      </c>
      <c r="F138">
        <v>12006</v>
      </c>
      <c r="G138" t="s">
        <v>25</v>
      </c>
      <c r="H138">
        <v>68</v>
      </c>
      <c r="I138">
        <v>102</v>
      </c>
      <c r="J138">
        <v>12006</v>
      </c>
      <c r="K138">
        <v>9</v>
      </c>
      <c r="L138" t="s">
        <v>96</v>
      </c>
      <c r="M138">
        <v>454</v>
      </c>
      <c r="N138">
        <v>717</v>
      </c>
      <c r="O138">
        <v>454</v>
      </c>
      <c r="P138">
        <v>17</v>
      </c>
      <c r="Q138">
        <v>1</v>
      </c>
      <c r="R138">
        <v>2.9469759999999998</v>
      </c>
      <c r="S138" t="s">
        <v>27</v>
      </c>
      <c r="T138">
        <v>7.7547E-4</v>
      </c>
      <c r="U138">
        <v>2.9119430000000002E-3</v>
      </c>
      <c r="V138">
        <v>7</v>
      </c>
      <c r="W138">
        <v>32</v>
      </c>
      <c r="X138">
        <v>51</v>
      </c>
      <c r="Y138">
        <v>12006</v>
      </c>
      <c r="AC138">
        <f>U138/U139</f>
        <v>1.2935834428739794</v>
      </c>
      <c r="AD138">
        <f t="shared" ref="AD138" si="66">I138-I139</f>
        <v>27</v>
      </c>
    </row>
    <row r="139" spans="1:30" x14ac:dyDescent="0.25">
      <c r="A139">
        <v>1.6794799999999999E-3</v>
      </c>
      <c r="B139">
        <v>3.4822335025380702</v>
      </c>
      <c r="C139">
        <v>13.571428298950099</v>
      </c>
      <c r="D139">
        <v>150</v>
      </c>
      <c r="E139">
        <v>25</v>
      </c>
      <c r="F139">
        <v>12006</v>
      </c>
      <c r="G139" t="s">
        <v>25</v>
      </c>
      <c r="H139">
        <v>68</v>
      </c>
      <c r="I139">
        <v>75</v>
      </c>
      <c r="J139">
        <v>12006</v>
      </c>
      <c r="K139">
        <v>9</v>
      </c>
      <c r="L139" t="s">
        <v>96</v>
      </c>
      <c r="M139">
        <v>351</v>
      </c>
      <c r="N139">
        <v>686</v>
      </c>
      <c r="O139">
        <v>351</v>
      </c>
      <c r="P139">
        <v>20</v>
      </c>
      <c r="Q139">
        <v>1</v>
      </c>
      <c r="R139">
        <v>2.3209970000000002</v>
      </c>
      <c r="S139" t="s">
        <v>28</v>
      </c>
      <c r="T139">
        <v>5.7200600000000001E-4</v>
      </c>
      <c r="U139">
        <v>2.2510669999999998E-3</v>
      </c>
      <c r="V139">
        <v>7</v>
      </c>
      <c r="W139">
        <v>26</v>
      </c>
      <c r="X139">
        <v>27</v>
      </c>
      <c r="Y139">
        <v>12006</v>
      </c>
    </row>
    <row r="140" spans="1:30" x14ac:dyDescent="0.25">
      <c r="A140">
        <v>1.2755010000000001E-3</v>
      </c>
      <c r="B140">
        <v>1.5454545454545401</v>
      </c>
      <c r="C140">
        <v>12.857142448425201</v>
      </c>
      <c r="D140">
        <v>126</v>
      </c>
      <c r="E140">
        <v>25</v>
      </c>
      <c r="F140">
        <v>8761</v>
      </c>
      <c r="G140" t="s">
        <v>25</v>
      </c>
      <c r="H140">
        <v>69</v>
      </c>
      <c r="I140">
        <v>48</v>
      </c>
      <c r="J140">
        <v>8761</v>
      </c>
      <c r="K140">
        <v>4</v>
      </c>
      <c r="L140" t="s">
        <v>97</v>
      </c>
      <c r="M140">
        <v>92</v>
      </c>
      <c r="N140">
        <v>289</v>
      </c>
      <c r="O140">
        <v>92</v>
      </c>
      <c r="P140">
        <v>7</v>
      </c>
      <c r="Q140">
        <v>1</v>
      </c>
      <c r="R140">
        <v>1.499962</v>
      </c>
      <c r="S140" t="s">
        <v>27</v>
      </c>
      <c r="T140">
        <v>1.9948399999999999E-4</v>
      </c>
      <c r="U140">
        <v>1.474511E-3</v>
      </c>
      <c r="V140">
        <v>7</v>
      </c>
      <c r="W140">
        <v>3</v>
      </c>
      <c r="X140">
        <v>36</v>
      </c>
      <c r="Y140">
        <v>8761</v>
      </c>
      <c r="AC140">
        <f>U140/U141</f>
        <v>0.72339773135921714</v>
      </c>
      <c r="AD140">
        <f t="shared" ref="AD140" si="67">I140-I141</f>
        <v>2</v>
      </c>
    </row>
    <row r="141" spans="1:30" x14ac:dyDescent="0.25">
      <c r="A141">
        <v>1.7950080000000001E-3</v>
      </c>
      <c r="B141">
        <v>1.6256684491978599</v>
      </c>
      <c r="C141">
        <v>12.857142448425201</v>
      </c>
      <c r="D141">
        <v>126</v>
      </c>
      <c r="E141">
        <v>25</v>
      </c>
      <c r="F141">
        <v>8761</v>
      </c>
      <c r="G141" t="s">
        <v>25</v>
      </c>
      <c r="H141">
        <v>69</v>
      </c>
      <c r="I141">
        <v>46</v>
      </c>
      <c r="J141">
        <v>8761</v>
      </c>
      <c r="K141">
        <v>4</v>
      </c>
      <c r="L141" t="s">
        <v>97</v>
      </c>
      <c r="M141">
        <v>93</v>
      </c>
      <c r="N141">
        <v>304</v>
      </c>
      <c r="O141">
        <v>93</v>
      </c>
      <c r="P141">
        <v>7</v>
      </c>
      <c r="Q141">
        <v>1</v>
      </c>
      <c r="R141">
        <v>2.1058240000000001</v>
      </c>
      <c r="S141" t="s">
        <v>28</v>
      </c>
      <c r="T141">
        <v>2.4406100000000001E-4</v>
      </c>
      <c r="U141">
        <v>2.0383129999999999E-3</v>
      </c>
      <c r="V141">
        <v>7</v>
      </c>
      <c r="W141">
        <v>3</v>
      </c>
      <c r="X141">
        <v>34</v>
      </c>
      <c r="Y141">
        <v>8761</v>
      </c>
    </row>
    <row r="142" spans="1:30" x14ac:dyDescent="0.25">
      <c r="A142">
        <v>5.0563461999999497E-2</v>
      </c>
      <c r="B142">
        <v>4.7283018867924502</v>
      </c>
      <c r="C142">
        <v>15.399999618530201</v>
      </c>
      <c r="D142">
        <v>3202</v>
      </c>
      <c r="E142">
        <v>25</v>
      </c>
      <c r="F142">
        <v>72973</v>
      </c>
      <c r="G142" t="s">
        <v>25</v>
      </c>
      <c r="H142">
        <v>70</v>
      </c>
      <c r="I142">
        <v>587</v>
      </c>
      <c r="J142">
        <v>72973</v>
      </c>
      <c r="K142">
        <v>16</v>
      </c>
      <c r="L142" t="s">
        <v>98</v>
      </c>
      <c r="M142">
        <v>2615</v>
      </c>
      <c r="N142">
        <v>3759</v>
      </c>
      <c r="O142">
        <v>2615</v>
      </c>
      <c r="P142">
        <v>496</v>
      </c>
      <c r="Q142">
        <v>1</v>
      </c>
      <c r="R142">
        <v>19461.491947999999</v>
      </c>
      <c r="S142" t="s">
        <v>27</v>
      </c>
      <c r="T142">
        <v>18.743302563</v>
      </c>
      <c r="U142">
        <v>18.793865515</v>
      </c>
      <c r="V142">
        <v>25</v>
      </c>
      <c r="W142">
        <v>75</v>
      </c>
      <c r="X142">
        <v>14</v>
      </c>
      <c r="Y142">
        <v>72973</v>
      </c>
      <c r="AC142">
        <f>U142/U143</f>
        <v>9.003320073485515</v>
      </c>
      <c r="AD142">
        <f t="shared" ref="AD142" si="68">I142-I143</f>
        <v>190</v>
      </c>
    </row>
    <row r="143" spans="1:30" x14ac:dyDescent="0.25">
      <c r="A143">
        <v>2.8581393999999701E-2</v>
      </c>
      <c r="B143">
        <v>5.0515723270440196</v>
      </c>
      <c r="C143">
        <v>15.399999618530201</v>
      </c>
      <c r="D143">
        <v>3202</v>
      </c>
      <c r="E143">
        <v>25</v>
      </c>
      <c r="F143">
        <v>72973</v>
      </c>
      <c r="G143" t="s">
        <v>25</v>
      </c>
      <c r="H143">
        <v>70</v>
      </c>
      <c r="I143">
        <v>397</v>
      </c>
      <c r="J143">
        <v>72973</v>
      </c>
      <c r="K143">
        <v>23</v>
      </c>
      <c r="L143" t="s">
        <v>98</v>
      </c>
      <c r="M143">
        <v>2334</v>
      </c>
      <c r="N143">
        <v>4016</v>
      </c>
      <c r="O143">
        <v>2334</v>
      </c>
      <c r="P143">
        <v>311</v>
      </c>
      <c r="Q143">
        <v>1</v>
      </c>
      <c r="R143">
        <v>2088.536975</v>
      </c>
      <c r="S143" t="s">
        <v>28</v>
      </c>
      <c r="T143">
        <v>2.0588563390000001</v>
      </c>
      <c r="U143">
        <v>2.0874372299999999</v>
      </c>
      <c r="V143">
        <v>25</v>
      </c>
      <c r="W143">
        <v>67</v>
      </c>
      <c r="X143">
        <v>17</v>
      </c>
      <c r="Y143">
        <v>72973</v>
      </c>
    </row>
    <row r="144" spans="1:30" x14ac:dyDescent="0.25">
      <c r="A144">
        <v>0.118656409999999</v>
      </c>
      <c r="B144">
        <v>3.9764957264957199</v>
      </c>
      <c r="C144">
        <v>16.214284896850501</v>
      </c>
      <c r="D144">
        <v>970</v>
      </c>
      <c r="E144">
        <v>25</v>
      </c>
      <c r="G144" t="s">
        <v>25</v>
      </c>
      <c r="H144">
        <v>71</v>
      </c>
      <c r="I144">
        <v>1248</v>
      </c>
      <c r="J144">
        <v>16848</v>
      </c>
      <c r="K144">
        <v>26</v>
      </c>
      <c r="L144" t="s">
        <v>99</v>
      </c>
      <c r="M144">
        <v>1201</v>
      </c>
      <c r="N144">
        <v>1861</v>
      </c>
      <c r="O144">
        <v>1201</v>
      </c>
      <c r="P144">
        <v>1180</v>
      </c>
      <c r="Q144">
        <v>1</v>
      </c>
      <c r="R144">
        <v>120000</v>
      </c>
      <c r="S144" t="s">
        <v>27</v>
      </c>
      <c r="T144">
        <v>120.515502205</v>
      </c>
      <c r="U144">
        <v>120.634158099</v>
      </c>
      <c r="V144">
        <v>14</v>
      </c>
      <c r="W144">
        <v>51</v>
      </c>
      <c r="X144">
        <v>16</v>
      </c>
      <c r="Y144">
        <v>2147483647</v>
      </c>
      <c r="AC144">
        <f>U144/U145</f>
        <v>1.0011177766324462</v>
      </c>
      <c r="AD144">
        <f t="shared" ref="AD144" si="69">I144-I145</f>
        <v>102</v>
      </c>
    </row>
    <row r="145" spans="1:25" x14ac:dyDescent="0.25">
      <c r="A145">
        <v>0.113395857</v>
      </c>
      <c r="B145">
        <v>4.0277777777777697</v>
      </c>
      <c r="C145">
        <v>16.214284896850501</v>
      </c>
      <c r="D145">
        <v>970</v>
      </c>
      <c r="E145">
        <v>25</v>
      </c>
      <c r="G145" t="s">
        <v>25</v>
      </c>
      <c r="H145">
        <v>71</v>
      </c>
      <c r="I145">
        <v>1146</v>
      </c>
      <c r="J145">
        <v>16867</v>
      </c>
      <c r="K145">
        <v>24</v>
      </c>
      <c r="L145" t="s">
        <v>99</v>
      </c>
      <c r="M145">
        <v>910</v>
      </c>
      <c r="N145">
        <v>1885</v>
      </c>
      <c r="O145">
        <v>910</v>
      </c>
      <c r="P145">
        <v>1082</v>
      </c>
      <c r="Q145">
        <v>1</v>
      </c>
      <c r="R145">
        <v>120000</v>
      </c>
      <c r="S145" t="s">
        <v>28</v>
      </c>
      <c r="T145">
        <v>120.386071358</v>
      </c>
      <c r="U145">
        <v>120.499466611</v>
      </c>
      <c r="V145">
        <v>14</v>
      </c>
      <c r="W145">
        <v>43</v>
      </c>
      <c r="X145">
        <v>20</v>
      </c>
      <c r="Y145">
        <v>2147483647</v>
      </c>
    </row>
  </sheetData>
  <mergeCells count="3">
    <mergeCell ref="AE1:AF1"/>
    <mergeCell ref="AG1:AH1"/>
    <mergeCell ref="AI1:A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Sheet1!results_maxsat_ddd_vs_scl_cont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2026-01-17T07:41:38Z</dcterms:created>
  <dcterms:modified xsi:type="dcterms:W3CDTF">2026-01-17T07:50:41Z</dcterms:modified>
</cp:coreProperties>
</file>