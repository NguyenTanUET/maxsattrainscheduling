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maxsat_ddd_vs_scl_finsteps123" localSheetId="0">Sheet1!$A$1:$Y$145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1" l="1"/>
  <c r="AE3" i="1"/>
  <c r="AD14" i="1" l="1"/>
  <c r="AD12" i="1"/>
  <c r="AD10" i="1"/>
  <c r="AJ3" i="1"/>
  <c r="AI3" i="1"/>
  <c r="AH3" i="1"/>
  <c r="AG3" i="1"/>
  <c r="AD6" i="1"/>
  <c r="AD8" i="1"/>
  <c r="AD16" i="1"/>
  <c r="AD18" i="1"/>
  <c r="AD20" i="1"/>
  <c r="AD22" i="1"/>
  <c r="AD24" i="1"/>
  <c r="AD26" i="1"/>
  <c r="AD28" i="1"/>
  <c r="AD30" i="1"/>
  <c r="AD32" i="1"/>
  <c r="AD34" i="1"/>
  <c r="AD36" i="1"/>
  <c r="AD38" i="1"/>
  <c r="AD40" i="1"/>
  <c r="AD42" i="1"/>
  <c r="AD44" i="1"/>
  <c r="AD46" i="1"/>
  <c r="AD48" i="1"/>
  <c r="AD50" i="1"/>
  <c r="AD52" i="1"/>
  <c r="AD54" i="1"/>
  <c r="AD56" i="1"/>
  <c r="AD58" i="1"/>
  <c r="AD60" i="1"/>
  <c r="AD62" i="1"/>
  <c r="AD64" i="1"/>
  <c r="AD66" i="1"/>
  <c r="AD68" i="1"/>
  <c r="AD70" i="1"/>
  <c r="AD72" i="1"/>
  <c r="AD74" i="1"/>
  <c r="AD76" i="1"/>
  <c r="AD78" i="1"/>
  <c r="AD80" i="1"/>
  <c r="AD82" i="1"/>
  <c r="AD84" i="1"/>
  <c r="AD86" i="1"/>
  <c r="AD88" i="1"/>
  <c r="AD90" i="1"/>
  <c r="AD92" i="1"/>
  <c r="AD94" i="1"/>
  <c r="AD96" i="1"/>
  <c r="AD98" i="1"/>
  <c r="AD100" i="1"/>
  <c r="AD102" i="1"/>
  <c r="AD104" i="1"/>
  <c r="AD106" i="1"/>
  <c r="AD108" i="1"/>
  <c r="AD110" i="1"/>
  <c r="AD112" i="1"/>
  <c r="AD114" i="1"/>
  <c r="AD116" i="1"/>
  <c r="AD118" i="1"/>
  <c r="AD120" i="1"/>
  <c r="AD122" i="1"/>
  <c r="AD124" i="1"/>
  <c r="AD126" i="1"/>
  <c r="AD128" i="1"/>
  <c r="AD130" i="1"/>
  <c r="AD132" i="1"/>
  <c r="AD134" i="1"/>
  <c r="AD136" i="1"/>
  <c r="AD138" i="1"/>
  <c r="AD140" i="1"/>
  <c r="AD142" i="1"/>
  <c r="AD144" i="1"/>
  <c r="AD4" i="1"/>
  <c r="AD2" i="1"/>
  <c r="AC6" i="1"/>
  <c r="AC8" i="1"/>
  <c r="AC10" i="1"/>
  <c r="AC12" i="1"/>
  <c r="AC14" i="1"/>
  <c r="AC16" i="1"/>
  <c r="AC18" i="1"/>
  <c r="AC20" i="1"/>
  <c r="AC22" i="1"/>
  <c r="AC24" i="1"/>
  <c r="AC26" i="1"/>
  <c r="AC28" i="1"/>
  <c r="AC30" i="1"/>
  <c r="AC32" i="1"/>
  <c r="AC34" i="1"/>
  <c r="AC36" i="1"/>
  <c r="AC38" i="1"/>
  <c r="AC40" i="1"/>
  <c r="AC42" i="1"/>
  <c r="AC44" i="1"/>
  <c r="AC46" i="1"/>
  <c r="AC48" i="1"/>
  <c r="AC50" i="1"/>
  <c r="AC52" i="1"/>
  <c r="AC54" i="1"/>
  <c r="AC56" i="1"/>
  <c r="AC58" i="1"/>
  <c r="AC60" i="1"/>
  <c r="AC62" i="1"/>
  <c r="AC64" i="1"/>
  <c r="AC66" i="1"/>
  <c r="AC68" i="1"/>
  <c r="AC70" i="1"/>
  <c r="AC72" i="1"/>
  <c r="AC74" i="1"/>
  <c r="AC76" i="1"/>
  <c r="AC78" i="1"/>
  <c r="AC80" i="1"/>
  <c r="AC82" i="1"/>
  <c r="AC84" i="1"/>
  <c r="AC86" i="1"/>
  <c r="AC88" i="1"/>
  <c r="AC90" i="1"/>
  <c r="AC92" i="1"/>
  <c r="AC94" i="1"/>
  <c r="AC96" i="1"/>
  <c r="AC98" i="1"/>
  <c r="AC100" i="1"/>
  <c r="AC102" i="1"/>
  <c r="AC104" i="1"/>
  <c r="AC106" i="1"/>
  <c r="AC108" i="1"/>
  <c r="AC110" i="1"/>
  <c r="AC112" i="1"/>
  <c r="AC114" i="1"/>
  <c r="AC116" i="1"/>
  <c r="AC118" i="1"/>
  <c r="AC120" i="1"/>
  <c r="AC122" i="1"/>
  <c r="AC124" i="1"/>
  <c r="AC126" i="1"/>
  <c r="AC128" i="1"/>
  <c r="AC130" i="1"/>
  <c r="AC132" i="1"/>
  <c r="AC134" i="1"/>
  <c r="AC136" i="1"/>
  <c r="AC138" i="1"/>
  <c r="AC140" i="1"/>
  <c r="AC142" i="1"/>
  <c r="AC144" i="1"/>
  <c r="AC4" i="1"/>
  <c r="AC2" i="1"/>
  <c r="AB1" i="1"/>
  <c r="AA1" i="1"/>
</calcChain>
</file>

<file path=xl/connections.xml><?xml version="1.0" encoding="utf-8"?>
<connections xmlns="http://schemas.openxmlformats.org/spreadsheetml/2006/main">
  <connection id="1" name="results_maxsat_ddd_vs_scl-finsteps123" type="6" refreshedVersion="5" background="1" saveData="1">
    <textPr codePage="437" sourceFile="D:\github\maxsattrainscheduling\results_maxsat_ddd_vs_scl-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<sst xmlns="http://schemas.openxmlformats.org/spreadsheetml/2006/main" count="469" uniqueCount="108">
  <si>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</si>
  <si>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</si>
  <si>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</si>
  <si>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</si>
  <si>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</si>
  <si>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</si>
  <si>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</si>
  <si>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</si>
  <si>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</si>
  <si>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</si>
  <si>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</si>
  <si>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</si>
  <si>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</si>
  <si>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</si>
  <si>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</si>
  <si>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</si>
  <si>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</si>
  <si>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</si>
  <si>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</si>
  <si>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</si>
  <si>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</si>
  <si>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</si>
  <si>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</si>
  <si>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</si>
  <si>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</si>
  <si>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</si>
  <si>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</si>
  <si>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MaxSatDddLadderRC2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</si>
  <si>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</si>
  <si>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</si>
  <si>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</si>
  <si>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</si>
  <si>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</si>
  <si>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</si>
  <si>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</si>
  <si>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</si>
  <si>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</si>
  <si>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</si>
  <si>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</si>
  <si>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</si>
  <si>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</si>
  <si>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</si>
  <si>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</si>
  <si>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</si>
  <si>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</si>
  <si>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</si>
  <si>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</si>
  <si>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</si>
  <si>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</si>
  <si>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</si>
  <si>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</si>
  <si>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</si>
  <si>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</si>
  <si>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</si>
  <si>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</si>
  <si>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</si>
  <si>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</si>
  <si>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</si>
  <si>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</si>
  <si>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</si>
  <si>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</si>
  <si>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</si>
  <si>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</si>
  <si>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</si>
  <si>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</si>
  <si>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</si>
  <si>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</si>
  <si>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</si>
  <si>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</si>
  <si>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</si>
  <si>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</si>
  <si>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</si>
  <si>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</si>
  <si>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</si>
  <si>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</si>
  <si>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</si>
  <si>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</si>
  <si>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</si>
  <si>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</si>
  <si>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</si>
  <si>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</si>
  <si>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</si>
  <si>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</si>
  <si>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</si>
  <si>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</si>
  <si>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</si>
  <si>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</si>
  <si>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</si>
  <si>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</si>
  <si>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</si>
  <si>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</si>
  <si>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</si>
  <si>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</si>
  <si>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</si>
  <si>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</si>
  <si>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</si>
  <si>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</si>
  <si>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</si>
  <si>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</si>
  <si>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</si>
  <si>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Speed-up</t>
  </si>
  <si>
    <t>iter-differ</t>
  </si>
  <si>
    <t>original average</t>
  </si>
  <si>
    <t>RC2</t>
  </si>
  <si>
    <t>SCL</t>
  </si>
  <si>
    <t>track average</t>
  </si>
  <si>
    <t xml:space="preserve"> 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</si>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</sst>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vs_scl-finsteps1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5"/>
  <sheetViews>
    <sheetView tabSelected="1" topLeftCell="Z1" zoomScale="190" zoomScaleNormal="190" workbookViewId="0">
      <selection activeCell="AE17" sqref="AE1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>
        <f>AVERAGEIF(S:S, "MaxSatDddLadderRC2",U:U )</f>
        <v>1.7869745652777783E-2</v>
      </c>
      <c r="AB1">
        <f>AVERAGEIF(S:S, "MaxSatDddLadderSCL",U:U )</f>
        <v>1.9472827305555562E-2</v>
      </c>
      <c r="AC1" t="s">
        <v>100</v>
      </c>
      <c r="AD1" t="s">
        <v>101</v>
      </c>
      <c r="AE1" s="5" t="s">
        <v>102</v>
      </c>
      <c r="AF1" s="5"/>
      <c r="AG1" s="5" t="s">
        <v>105</v>
      </c>
      <c r="AH1" s="5"/>
      <c r="AI1" s="5" t="s">
        <v>107</v>
      </c>
      <c r="AJ1" s="5"/>
    </row>
    <row r="2" spans="1:36" s="2" customFormat="1" x14ac:dyDescent="0.25">
      <c r="A2" s="2">
        <v>5.0692699999999999E-3</v>
      </c>
      <c r="B2" s="2">
        <v>1.5164923572003199</v>
      </c>
      <c r="C2" s="2">
        <v>20.931034088134702</v>
      </c>
      <c r="D2" s="2">
        <v>5915</v>
      </c>
      <c r="E2" s="2">
        <v>33</v>
      </c>
      <c r="F2" s="2">
        <v>11</v>
      </c>
      <c r="G2" s="2" t="s">
        <v>25</v>
      </c>
      <c r="H2" s="2">
        <v>0</v>
      </c>
      <c r="I2" s="2">
        <v>127</v>
      </c>
      <c r="J2" s="2">
        <v>11</v>
      </c>
      <c r="K2" s="2">
        <v>7</v>
      </c>
      <c r="L2" s="2" t="s">
        <v>26</v>
      </c>
      <c r="M2" s="2">
        <v>592</v>
      </c>
      <c r="N2" s="2">
        <v>1885</v>
      </c>
      <c r="O2" s="2">
        <v>592</v>
      </c>
      <c r="P2" s="2">
        <v>11</v>
      </c>
      <c r="Q2" s="2">
        <v>1</v>
      </c>
      <c r="R2" s="2">
        <v>6.6527760000000002</v>
      </c>
      <c r="S2" s="2" t="s">
        <v>27</v>
      </c>
      <c r="T2" s="2">
        <v>1.0902450000000001E-3</v>
      </c>
      <c r="U2" s="2">
        <v>6.158948E-3</v>
      </c>
      <c r="V2" s="2">
        <v>29</v>
      </c>
      <c r="W2" s="2">
        <v>23</v>
      </c>
      <c r="X2" s="2">
        <v>91</v>
      </c>
      <c r="Y2" s="2">
        <v>11</v>
      </c>
      <c r="AC2" s="2">
        <f>U2/U3</f>
        <v>1.4577457271405481</v>
      </c>
      <c r="AD2" s="2">
        <f>I2-I3</f>
        <v>51</v>
      </c>
      <c r="AE2" s="3" t="s">
        <v>103</v>
      </c>
      <c r="AF2" s="3" t="s">
        <v>104</v>
      </c>
      <c r="AG2" s="3" t="s">
        <v>103</v>
      </c>
      <c r="AH2" s="3" t="s">
        <v>104</v>
      </c>
      <c r="AI2" s="3" t="s">
        <v>103</v>
      </c>
      <c r="AJ2" s="3" t="s">
        <v>104</v>
      </c>
    </row>
    <row r="3" spans="1:36" x14ac:dyDescent="0.25">
      <c r="A3">
        <v>3.5313929999999999E-3</v>
      </c>
      <c r="B3">
        <v>1.51568785197103</v>
      </c>
      <c r="C3">
        <v>20.931034088134702</v>
      </c>
      <c r="D3">
        <v>5915</v>
      </c>
      <c r="E3">
        <v>33</v>
      </c>
      <c r="F3">
        <v>11</v>
      </c>
      <c r="G3" t="s">
        <v>25</v>
      </c>
      <c r="H3">
        <v>0</v>
      </c>
      <c r="I3">
        <v>76</v>
      </c>
      <c r="J3">
        <v>11</v>
      </c>
      <c r="K3">
        <v>8</v>
      </c>
      <c r="L3" t="s">
        <v>26</v>
      </c>
      <c r="M3">
        <v>512</v>
      </c>
      <c r="N3">
        <v>1884</v>
      </c>
      <c r="O3">
        <v>512</v>
      </c>
      <c r="P3">
        <v>11</v>
      </c>
      <c r="Q3">
        <v>1</v>
      </c>
      <c r="R3">
        <v>4.3468879999999999</v>
      </c>
      <c r="S3" t="s">
        <v>28</v>
      </c>
      <c r="T3">
        <v>6.9424000000000005E-4</v>
      </c>
      <c r="U3">
        <v>4.224981E-3</v>
      </c>
      <c r="V3">
        <v>29</v>
      </c>
      <c r="W3">
        <v>25</v>
      </c>
      <c r="X3">
        <v>38</v>
      </c>
      <c r="Y3">
        <v>11</v>
      </c>
      <c r="AE3" s="4">
        <f>AVERAGEIF(S2:S49, "MaxSatDddLadderRC2",R2:R49 )</f>
        <v>5.4933719166666668</v>
      </c>
      <c r="AF3" s="4">
        <f>AVERAGEIF(S2:S49, "MaxSatDddLadderScl",R2:R49 )</f>
        <v>6.0935120000000005</v>
      </c>
      <c r="AG3" s="4">
        <f>AVERAGEIF(S50:S97, "MaxSatDddLadderRC2",R50:R97 )</f>
        <v>24.435298333333325</v>
      </c>
      <c r="AH3" s="4">
        <f>AVERAGEIF(S50:S97, "MaxSatDddLadderScl",R50:R97 )</f>
        <v>23.814945125000005</v>
      </c>
      <c r="AI3" s="4">
        <f>AVERAGEIF(S98:S145, "MaxSatDddLadderRC2",R98:R145 )</f>
        <v>23.9454645</v>
      </c>
      <c r="AJ3" s="4">
        <f>AVERAGEIF(S98:S145, "MaxSatDddLadderSCL",R98:R145)</f>
        <v>28.857971291666669</v>
      </c>
    </row>
    <row r="4" spans="1:36" x14ac:dyDescent="0.25">
      <c r="A4">
        <v>3.8914829999999998E-3</v>
      </c>
      <c r="B4">
        <v>1.60102564102564</v>
      </c>
      <c r="C4">
        <v>19</v>
      </c>
      <c r="D4">
        <v>3735</v>
      </c>
      <c r="E4">
        <v>33</v>
      </c>
      <c r="F4">
        <v>25</v>
      </c>
      <c r="G4" t="s">
        <v>25</v>
      </c>
      <c r="H4">
        <v>1</v>
      </c>
      <c r="I4">
        <v>94</v>
      </c>
      <c r="J4">
        <v>25</v>
      </c>
      <c r="K4">
        <v>8</v>
      </c>
      <c r="L4" t="s">
        <v>29</v>
      </c>
      <c r="M4">
        <v>525</v>
      </c>
      <c r="N4">
        <v>1561</v>
      </c>
      <c r="O4">
        <v>525</v>
      </c>
      <c r="P4">
        <v>25</v>
      </c>
      <c r="Q4">
        <v>2</v>
      </c>
      <c r="R4">
        <v>4.6240009999999998</v>
      </c>
      <c r="S4" t="s">
        <v>27</v>
      </c>
      <c r="T4">
        <v>6.60744E-4</v>
      </c>
      <c r="U4">
        <v>4.5516519999999998E-3</v>
      </c>
      <c r="V4">
        <v>25</v>
      </c>
      <c r="W4">
        <v>19</v>
      </c>
      <c r="X4">
        <v>47</v>
      </c>
      <c r="Y4">
        <v>25</v>
      </c>
      <c r="AC4">
        <f>U4/U5</f>
        <v>1.1950557875368626</v>
      </c>
      <c r="AD4">
        <f>I4-I5</f>
        <v>9</v>
      </c>
    </row>
    <row r="5" spans="1:36" x14ac:dyDescent="0.25">
      <c r="A5">
        <v>3.2826449999999998E-3</v>
      </c>
      <c r="B5">
        <v>1.56717948717948</v>
      </c>
      <c r="C5">
        <v>19</v>
      </c>
      <c r="D5">
        <v>3735</v>
      </c>
      <c r="E5">
        <v>33</v>
      </c>
      <c r="F5">
        <v>25</v>
      </c>
      <c r="G5" t="s">
        <v>25</v>
      </c>
      <c r="H5">
        <v>1</v>
      </c>
      <c r="I5">
        <v>85</v>
      </c>
      <c r="J5">
        <v>25</v>
      </c>
      <c r="K5">
        <v>9</v>
      </c>
      <c r="L5" t="s">
        <v>29</v>
      </c>
      <c r="M5">
        <v>390</v>
      </c>
      <c r="N5">
        <v>1528</v>
      </c>
      <c r="O5">
        <v>390</v>
      </c>
      <c r="P5">
        <v>25</v>
      </c>
      <c r="Q5">
        <v>2</v>
      </c>
      <c r="R5">
        <v>3.8797950000000001</v>
      </c>
      <c r="S5" t="s">
        <v>28</v>
      </c>
      <c r="T5">
        <v>5.2651100000000001E-4</v>
      </c>
      <c r="U5">
        <v>3.8087360000000001E-3</v>
      </c>
      <c r="V5">
        <v>25</v>
      </c>
      <c r="W5">
        <v>23</v>
      </c>
      <c r="X5">
        <v>34</v>
      </c>
      <c r="Y5">
        <v>25</v>
      </c>
    </row>
    <row r="6" spans="1:36" x14ac:dyDescent="0.25">
      <c r="A6">
        <v>3.2009970000000001E-3</v>
      </c>
      <c r="B6">
        <v>1.7759562841530001</v>
      </c>
      <c r="C6">
        <v>22.375</v>
      </c>
      <c r="D6">
        <v>2061</v>
      </c>
      <c r="E6">
        <v>33</v>
      </c>
      <c r="F6">
        <v>10</v>
      </c>
      <c r="G6" t="s">
        <v>25</v>
      </c>
      <c r="H6">
        <v>2</v>
      </c>
      <c r="I6">
        <v>100</v>
      </c>
      <c r="J6">
        <v>10</v>
      </c>
      <c r="K6">
        <v>8</v>
      </c>
      <c r="L6" t="s">
        <v>30</v>
      </c>
      <c r="M6">
        <v>526</v>
      </c>
      <c r="N6">
        <v>1300</v>
      </c>
      <c r="O6">
        <v>526</v>
      </c>
      <c r="P6">
        <v>10</v>
      </c>
      <c r="Q6">
        <v>1</v>
      </c>
      <c r="R6">
        <v>3.949192</v>
      </c>
      <c r="S6" t="s">
        <v>27</v>
      </c>
      <c r="T6">
        <v>6.9783099999999999E-4</v>
      </c>
      <c r="U6">
        <v>3.8981990000000002E-3</v>
      </c>
      <c r="V6">
        <v>16</v>
      </c>
      <c r="W6">
        <v>18</v>
      </c>
      <c r="X6">
        <v>70</v>
      </c>
      <c r="Y6">
        <v>10</v>
      </c>
      <c r="AC6">
        <f>U6/U7</f>
        <v>1.1218465145967862</v>
      </c>
      <c r="AD6">
        <f t="shared" ref="AD6" si="0">I6-I7</f>
        <v>12</v>
      </c>
    </row>
    <row r="7" spans="1:36" x14ac:dyDescent="0.25">
      <c r="A7">
        <v>2.89083E-3</v>
      </c>
      <c r="B7">
        <v>1.7909836065573701</v>
      </c>
      <c r="C7">
        <v>22.375</v>
      </c>
      <c r="D7">
        <v>2061</v>
      </c>
      <c r="E7">
        <v>33</v>
      </c>
      <c r="F7">
        <v>10</v>
      </c>
      <c r="G7" t="s">
        <v>25</v>
      </c>
      <c r="H7">
        <v>2</v>
      </c>
      <c r="I7">
        <v>88</v>
      </c>
      <c r="J7">
        <v>10</v>
      </c>
      <c r="K7">
        <v>7</v>
      </c>
      <c r="L7" t="s">
        <v>30</v>
      </c>
      <c r="M7">
        <v>491</v>
      </c>
      <c r="N7">
        <v>1311</v>
      </c>
      <c r="O7">
        <v>491</v>
      </c>
      <c r="P7">
        <v>10</v>
      </c>
      <c r="Q7">
        <v>1</v>
      </c>
      <c r="R7">
        <v>3.5276040000000002</v>
      </c>
      <c r="S7" t="s">
        <v>28</v>
      </c>
      <c r="T7">
        <v>5.8448400000000002E-4</v>
      </c>
      <c r="U7">
        <v>3.474806E-3</v>
      </c>
      <c r="V7">
        <v>16</v>
      </c>
      <c r="W7">
        <v>14</v>
      </c>
      <c r="X7">
        <v>62</v>
      </c>
      <c r="Y7">
        <v>10</v>
      </c>
    </row>
    <row r="8" spans="1:36" x14ac:dyDescent="0.25">
      <c r="A8">
        <v>4.3984510000000003E-3</v>
      </c>
      <c r="B8">
        <v>1.9384057971014399</v>
      </c>
      <c r="C8">
        <v>19.214284896850501</v>
      </c>
      <c r="D8">
        <v>1175</v>
      </c>
      <c r="E8">
        <v>33</v>
      </c>
      <c r="F8">
        <v>17</v>
      </c>
      <c r="G8" t="s">
        <v>25</v>
      </c>
      <c r="H8">
        <v>3</v>
      </c>
      <c r="I8">
        <v>145</v>
      </c>
      <c r="J8">
        <v>17</v>
      </c>
      <c r="K8">
        <v>6</v>
      </c>
      <c r="L8" t="s">
        <v>31</v>
      </c>
      <c r="M8">
        <v>481</v>
      </c>
      <c r="N8">
        <v>1070</v>
      </c>
      <c r="O8">
        <v>481</v>
      </c>
      <c r="P8">
        <v>17</v>
      </c>
      <c r="Q8">
        <v>1</v>
      </c>
      <c r="R8">
        <v>5.3084129999999998</v>
      </c>
      <c r="S8" t="s">
        <v>27</v>
      </c>
      <c r="T8">
        <v>8.7197100000000003E-4</v>
      </c>
      <c r="U8">
        <v>5.2698199999999997E-3</v>
      </c>
      <c r="V8">
        <v>14</v>
      </c>
      <c r="W8">
        <v>15</v>
      </c>
      <c r="X8">
        <v>111</v>
      </c>
      <c r="Y8">
        <v>17</v>
      </c>
      <c r="AC8">
        <f>U8/U9</f>
        <v>1.146586894564579</v>
      </c>
      <c r="AD8">
        <f t="shared" ref="AD8" si="1">I8-I9</f>
        <v>11</v>
      </c>
    </row>
    <row r="9" spans="1:36" x14ac:dyDescent="0.25">
      <c r="A9">
        <v>3.602142E-3</v>
      </c>
      <c r="B9">
        <v>1.9492753623188399</v>
      </c>
      <c r="C9">
        <v>19.214284896850501</v>
      </c>
      <c r="D9">
        <v>1175</v>
      </c>
      <c r="E9">
        <v>33</v>
      </c>
      <c r="F9">
        <v>17</v>
      </c>
      <c r="G9" t="s">
        <v>25</v>
      </c>
      <c r="H9">
        <v>3</v>
      </c>
      <c r="I9">
        <v>134</v>
      </c>
      <c r="J9">
        <v>17</v>
      </c>
      <c r="K9">
        <v>6</v>
      </c>
      <c r="L9" t="s">
        <v>31</v>
      </c>
      <c r="M9">
        <v>444</v>
      </c>
      <c r="N9">
        <v>1076</v>
      </c>
      <c r="O9">
        <v>444</v>
      </c>
      <c r="P9">
        <v>17</v>
      </c>
      <c r="Q9">
        <v>1</v>
      </c>
      <c r="R9">
        <v>4.6579430000000004</v>
      </c>
      <c r="S9" t="s">
        <v>28</v>
      </c>
      <c r="T9">
        <v>9.9443199999999995E-4</v>
      </c>
      <c r="U9">
        <v>4.5960929999999999E-3</v>
      </c>
      <c r="V9">
        <v>14</v>
      </c>
      <c r="W9">
        <v>14</v>
      </c>
      <c r="X9">
        <v>101</v>
      </c>
      <c r="Y9">
        <v>17</v>
      </c>
    </row>
    <row r="10" spans="1:36" x14ac:dyDescent="0.25">
      <c r="A10">
        <v>3.096634E-3</v>
      </c>
      <c r="B10">
        <v>1.7383966244725699</v>
      </c>
      <c r="C10">
        <v>19.25</v>
      </c>
      <c r="D10">
        <v>876</v>
      </c>
      <c r="E10">
        <v>33</v>
      </c>
      <c r="F10">
        <v>15</v>
      </c>
      <c r="G10" t="s">
        <v>25</v>
      </c>
      <c r="H10">
        <v>4</v>
      </c>
      <c r="I10">
        <v>127</v>
      </c>
      <c r="J10">
        <v>15</v>
      </c>
      <c r="K10">
        <v>4</v>
      </c>
      <c r="L10" t="s">
        <v>32</v>
      </c>
      <c r="M10">
        <v>330</v>
      </c>
      <c r="N10">
        <v>824</v>
      </c>
      <c r="O10">
        <v>330</v>
      </c>
      <c r="P10">
        <v>15</v>
      </c>
      <c r="Q10">
        <v>1</v>
      </c>
      <c r="R10">
        <v>3.757018</v>
      </c>
      <c r="S10" t="s">
        <v>27</v>
      </c>
      <c r="T10">
        <v>6.2567700000000005E-4</v>
      </c>
      <c r="U10">
        <v>3.721776E-3</v>
      </c>
      <c r="V10">
        <v>12</v>
      </c>
      <c r="W10">
        <v>7</v>
      </c>
      <c r="X10">
        <v>103</v>
      </c>
      <c r="Y10">
        <v>15</v>
      </c>
      <c r="AC10">
        <f>U10/U11</f>
        <v>0.86374616866529264</v>
      </c>
      <c r="AD10">
        <f>I10-I11</f>
        <v>-14</v>
      </c>
    </row>
    <row r="11" spans="1:36" x14ac:dyDescent="0.25">
      <c r="A11">
        <v>3.4644749999999998E-3</v>
      </c>
      <c r="B11">
        <v>1.98101265822784</v>
      </c>
      <c r="C11">
        <v>19.25</v>
      </c>
      <c r="D11">
        <v>876</v>
      </c>
      <c r="E11">
        <v>33</v>
      </c>
      <c r="F11">
        <v>15</v>
      </c>
      <c r="G11" t="s">
        <v>25</v>
      </c>
      <c r="H11">
        <v>4</v>
      </c>
      <c r="I11">
        <v>141</v>
      </c>
      <c r="J11">
        <v>15</v>
      </c>
      <c r="K11">
        <v>6</v>
      </c>
      <c r="L11" t="s">
        <v>32</v>
      </c>
      <c r="M11">
        <v>397</v>
      </c>
      <c r="N11">
        <v>939</v>
      </c>
      <c r="O11">
        <v>397</v>
      </c>
      <c r="P11">
        <v>15</v>
      </c>
      <c r="Q11">
        <v>1</v>
      </c>
      <c r="R11">
        <v>4.3506799999999997</v>
      </c>
      <c r="S11" t="s">
        <v>28</v>
      </c>
      <c r="T11">
        <v>8.4494599999999996E-4</v>
      </c>
      <c r="U11">
        <v>4.308877E-3</v>
      </c>
      <c r="V11">
        <v>12</v>
      </c>
      <c r="W11">
        <v>12</v>
      </c>
      <c r="X11">
        <v>112</v>
      </c>
      <c r="Y11">
        <v>15</v>
      </c>
    </row>
    <row r="12" spans="1:36" x14ac:dyDescent="0.25">
      <c r="A12">
        <v>1.839243E-3</v>
      </c>
      <c r="B12">
        <v>1.6993464052287499</v>
      </c>
      <c r="C12">
        <v>18.625</v>
      </c>
      <c r="D12">
        <v>307</v>
      </c>
      <c r="E12">
        <v>33</v>
      </c>
      <c r="F12">
        <v>10</v>
      </c>
      <c r="G12" t="s">
        <v>25</v>
      </c>
      <c r="H12">
        <v>5</v>
      </c>
      <c r="I12">
        <v>93</v>
      </c>
      <c r="J12">
        <v>10</v>
      </c>
      <c r="K12">
        <v>4</v>
      </c>
      <c r="L12" t="s">
        <v>33</v>
      </c>
      <c r="M12">
        <v>204</v>
      </c>
      <c r="N12">
        <v>520</v>
      </c>
      <c r="O12">
        <v>204</v>
      </c>
      <c r="P12">
        <v>10</v>
      </c>
      <c r="Q12">
        <v>1</v>
      </c>
      <c r="R12">
        <v>2.208097</v>
      </c>
      <c r="S12" t="s">
        <v>27</v>
      </c>
      <c r="T12">
        <v>3.3810300000000003E-4</v>
      </c>
      <c r="U12">
        <v>2.1766429999999998E-3</v>
      </c>
      <c r="V12">
        <v>8</v>
      </c>
      <c r="W12">
        <v>3</v>
      </c>
      <c r="X12">
        <v>78</v>
      </c>
      <c r="Y12">
        <v>10</v>
      </c>
      <c r="AC12">
        <f>U12/U13</f>
        <v>1.3189113954577651</v>
      </c>
      <c r="AD12">
        <f>I12-I13</f>
        <v>4</v>
      </c>
    </row>
    <row r="13" spans="1:36" x14ac:dyDescent="0.25">
      <c r="A13">
        <v>1.4224420000000001E-3</v>
      </c>
      <c r="B13">
        <v>1.47712418300653</v>
      </c>
      <c r="C13">
        <v>18.625</v>
      </c>
      <c r="D13">
        <v>307</v>
      </c>
      <c r="E13">
        <v>33</v>
      </c>
      <c r="F13">
        <v>10</v>
      </c>
      <c r="G13" t="s">
        <v>25</v>
      </c>
      <c r="H13">
        <v>5</v>
      </c>
      <c r="I13">
        <v>89</v>
      </c>
      <c r="J13">
        <v>10</v>
      </c>
      <c r="K13">
        <v>3</v>
      </c>
      <c r="L13" t="s">
        <v>33</v>
      </c>
      <c r="M13">
        <v>130</v>
      </c>
      <c r="N13">
        <v>452</v>
      </c>
      <c r="O13">
        <v>130</v>
      </c>
      <c r="P13">
        <v>10</v>
      </c>
      <c r="Q13">
        <v>1</v>
      </c>
      <c r="R13">
        <v>1.706663</v>
      </c>
      <c r="S13" t="s">
        <v>28</v>
      </c>
      <c r="T13">
        <v>2.2833599999999999E-4</v>
      </c>
      <c r="U13">
        <v>1.6503329999999999E-3</v>
      </c>
      <c r="V13">
        <v>8</v>
      </c>
      <c r="W13">
        <v>1</v>
      </c>
      <c r="X13">
        <v>76</v>
      </c>
      <c r="Y13">
        <v>10</v>
      </c>
    </row>
    <row r="14" spans="1:36" x14ac:dyDescent="0.25">
      <c r="A14">
        <v>1.128724E-3</v>
      </c>
      <c r="B14">
        <v>1.8952380952380901</v>
      </c>
      <c r="C14">
        <v>12.625</v>
      </c>
      <c r="D14">
        <v>126</v>
      </c>
      <c r="E14">
        <v>33</v>
      </c>
      <c r="F14">
        <v>10</v>
      </c>
      <c r="G14" t="s">
        <v>25</v>
      </c>
      <c r="H14">
        <v>6</v>
      </c>
      <c r="I14">
        <v>55</v>
      </c>
      <c r="J14">
        <v>10</v>
      </c>
      <c r="K14">
        <v>6</v>
      </c>
      <c r="L14" t="s">
        <v>34</v>
      </c>
      <c r="M14">
        <v>173</v>
      </c>
      <c r="N14">
        <v>398</v>
      </c>
      <c r="O14">
        <v>173</v>
      </c>
      <c r="P14">
        <v>10</v>
      </c>
      <c r="Q14">
        <v>1</v>
      </c>
      <c r="R14">
        <v>1.2888520000000001</v>
      </c>
      <c r="S14" t="s">
        <v>27</v>
      </c>
      <c r="T14">
        <v>1.40514E-4</v>
      </c>
      <c r="U14">
        <v>1.268808E-3</v>
      </c>
      <c r="V14">
        <v>8</v>
      </c>
      <c r="W14">
        <v>5</v>
      </c>
      <c r="X14">
        <v>38</v>
      </c>
      <c r="Y14">
        <v>10</v>
      </c>
      <c r="AC14">
        <f>U14/U15</f>
        <v>1.0417006016341328</v>
      </c>
      <c r="AD14">
        <f>I14-I15</f>
        <v>3</v>
      </c>
    </row>
    <row r="15" spans="1:36" x14ac:dyDescent="0.25">
      <c r="A15">
        <v>1.1045880000000001E-3</v>
      </c>
      <c r="B15">
        <v>1.79523809523809</v>
      </c>
      <c r="C15">
        <v>12.625</v>
      </c>
      <c r="D15">
        <v>126</v>
      </c>
      <c r="E15">
        <v>33</v>
      </c>
      <c r="F15">
        <v>10</v>
      </c>
      <c r="G15" t="s">
        <v>25</v>
      </c>
      <c r="H15">
        <v>6</v>
      </c>
      <c r="I15">
        <v>52</v>
      </c>
      <c r="J15">
        <v>10</v>
      </c>
      <c r="K15">
        <v>4</v>
      </c>
      <c r="L15" t="s">
        <v>34</v>
      </c>
      <c r="M15">
        <v>131</v>
      </c>
      <c r="N15">
        <v>377</v>
      </c>
      <c r="O15">
        <v>131</v>
      </c>
      <c r="P15">
        <v>10</v>
      </c>
      <c r="Q15">
        <v>1</v>
      </c>
      <c r="R15">
        <v>1.2523519999999999</v>
      </c>
      <c r="S15" t="s">
        <v>28</v>
      </c>
      <c r="T15">
        <v>1.13843E-4</v>
      </c>
      <c r="U15">
        <v>1.2180159999999999E-3</v>
      </c>
      <c r="V15">
        <v>8</v>
      </c>
      <c r="W15">
        <v>3</v>
      </c>
      <c r="X15">
        <v>37</v>
      </c>
      <c r="Y15">
        <v>10</v>
      </c>
      <c r="AE15" t="s">
        <v>106</v>
      </c>
    </row>
    <row r="16" spans="1:36" x14ac:dyDescent="0.25">
      <c r="A16">
        <v>1.47113459999999E-2</v>
      </c>
      <c r="B16">
        <v>3.47101449275362</v>
      </c>
      <c r="C16">
        <v>19.214284896850501</v>
      </c>
      <c r="D16">
        <v>4877</v>
      </c>
      <c r="E16">
        <v>33</v>
      </c>
      <c r="F16">
        <v>31</v>
      </c>
      <c r="G16" t="s">
        <v>25</v>
      </c>
      <c r="H16">
        <v>7</v>
      </c>
      <c r="I16">
        <v>184</v>
      </c>
      <c r="J16">
        <v>31</v>
      </c>
      <c r="K16">
        <v>21</v>
      </c>
      <c r="L16" t="s">
        <v>35</v>
      </c>
      <c r="M16">
        <v>2404</v>
      </c>
      <c r="N16">
        <v>3832</v>
      </c>
      <c r="O16">
        <v>2404</v>
      </c>
      <c r="P16">
        <v>31</v>
      </c>
      <c r="Q16">
        <v>1</v>
      </c>
      <c r="R16">
        <v>21.770267</v>
      </c>
      <c r="S16" t="s">
        <v>27</v>
      </c>
      <c r="T16">
        <v>6.939275E-3</v>
      </c>
      <c r="U16">
        <v>2.1650051E-2</v>
      </c>
      <c r="V16">
        <v>28</v>
      </c>
      <c r="W16">
        <v>85</v>
      </c>
      <c r="X16">
        <v>66</v>
      </c>
      <c r="Y16">
        <v>31</v>
      </c>
      <c r="AC16">
        <f>U16/U17</f>
        <v>0.58753103594856482</v>
      </c>
      <c r="AD16">
        <f t="shared" ref="AD16" si="2">I16-I17</f>
        <v>-81</v>
      </c>
    </row>
    <row r="17" spans="1:30" x14ac:dyDescent="0.25">
      <c r="A17">
        <v>2.2424559E-2</v>
      </c>
      <c r="B17">
        <v>3.97101449275362</v>
      </c>
      <c r="C17">
        <v>19.214284896850501</v>
      </c>
      <c r="D17">
        <v>4877</v>
      </c>
      <c r="E17">
        <v>33</v>
      </c>
      <c r="F17">
        <v>31</v>
      </c>
      <c r="G17" t="s">
        <v>25</v>
      </c>
      <c r="H17">
        <v>7</v>
      </c>
      <c r="I17">
        <v>265</v>
      </c>
      <c r="J17">
        <v>31</v>
      </c>
      <c r="K17">
        <v>18</v>
      </c>
      <c r="L17" t="s">
        <v>35</v>
      </c>
      <c r="M17">
        <v>2412</v>
      </c>
      <c r="N17">
        <v>4384</v>
      </c>
      <c r="O17">
        <v>2412</v>
      </c>
      <c r="P17">
        <v>31</v>
      </c>
      <c r="Q17">
        <v>1</v>
      </c>
      <c r="R17">
        <v>37.001161000000003</v>
      </c>
      <c r="S17" t="s">
        <v>28</v>
      </c>
      <c r="T17">
        <v>1.4425133999999999E-2</v>
      </c>
      <c r="U17">
        <v>3.6849204000000003E-2</v>
      </c>
      <c r="V17">
        <v>28</v>
      </c>
      <c r="W17">
        <v>92</v>
      </c>
      <c r="X17">
        <v>140</v>
      </c>
      <c r="Y17">
        <v>31</v>
      </c>
    </row>
    <row r="18" spans="1:30" x14ac:dyDescent="0.25">
      <c r="A18">
        <v>5.0491769999999898E-3</v>
      </c>
      <c r="B18">
        <v>2.2554744525547399</v>
      </c>
      <c r="C18">
        <v>20.049999237060501</v>
      </c>
      <c r="D18">
        <v>2616</v>
      </c>
      <c r="E18">
        <v>33</v>
      </c>
      <c r="F18">
        <v>18</v>
      </c>
      <c r="G18" t="s">
        <v>25</v>
      </c>
      <c r="H18">
        <v>8</v>
      </c>
      <c r="I18">
        <v>134</v>
      </c>
      <c r="J18">
        <v>18</v>
      </c>
      <c r="K18">
        <v>10</v>
      </c>
      <c r="L18" t="s">
        <v>36</v>
      </c>
      <c r="M18">
        <v>921</v>
      </c>
      <c r="N18">
        <v>1854</v>
      </c>
      <c r="O18">
        <v>921</v>
      </c>
      <c r="P18">
        <v>18</v>
      </c>
      <c r="Q18">
        <v>1</v>
      </c>
      <c r="R18">
        <v>6.7055170000000004</v>
      </c>
      <c r="S18" t="s">
        <v>27</v>
      </c>
      <c r="T18">
        <v>1.5937340000000001E-3</v>
      </c>
      <c r="U18">
        <v>6.6423960000000001E-3</v>
      </c>
      <c r="V18">
        <v>20</v>
      </c>
      <c r="W18">
        <v>44</v>
      </c>
      <c r="X18">
        <v>70</v>
      </c>
      <c r="Y18">
        <v>18</v>
      </c>
      <c r="AC18">
        <f>U18/U19</f>
        <v>1.73549652176753</v>
      </c>
      <c r="AD18">
        <f t="shared" ref="AD18" si="3">I18-I19</f>
        <v>44</v>
      </c>
    </row>
    <row r="19" spans="1:30" x14ac:dyDescent="0.25">
      <c r="A19">
        <v>2.9907240000000002E-3</v>
      </c>
      <c r="B19">
        <v>1.82116788321167</v>
      </c>
      <c r="C19">
        <v>20.049999237060501</v>
      </c>
      <c r="D19">
        <v>2616</v>
      </c>
      <c r="E19">
        <v>33</v>
      </c>
      <c r="F19">
        <v>18</v>
      </c>
      <c r="G19" t="s">
        <v>25</v>
      </c>
      <c r="H19">
        <v>8</v>
      </c>
      <c r="I19">
        <v>90</v>
      </c>
      <c r="J19">
        <v>18</v>
      </c>
      <c r="K19">
        <v>11</v>
      </c>
      <c r="L19" t="s">
        <v>36</v>
      </c>
      <c r="M19">
        <v>510</v>
      </c>
      <c r="N19">
        <v>1497</v>
      </c>
      <c r="O19">
        <v>510</v>
      </c>
      <c r="P19">
        <v>18</v>
      </c>
      <c r="Q19">
        <v>1</v>
      </c>
      <c r="R19">
        <v>3.9104770000000002</v>
      </c>
      <c r="S19" t="s">
        <v>28</v>
      </c>
      <c r="T19">
        <v>8.37195E-4</v>
      </c>
      <c r="U19">
        <v>3.827375E-3</v>
      </c>
      <c r="V19">
        <v>20</v>
      </c>
      <c r="W19">
        <v>28</v>
      </c>
      <c r="X19">
        <v>42</v>
      </c>
      <c r="Y19">
        <v>18</v>
      </c>
    </row>
    <row r="20" spans="1:30" x14ac:dyDescent="0.25">
      <c r="A20">
        <v>3.0228009999999999E-3</v>
      </c>
      <c r="B20">
        <v>1.90551181102362</v>
      </c>
      <c r="C20">
        <v>18.176469802856399</v>
      </c>
      <c r="D20">
        <v>1632</v>
      </c>
      <c r="E20">
        <v>33</v>
      </c>
      <c r="F20">
        <v>17</v>
      </c>
      <c r="G20" t="s">
        <v>25</v>
      </c>
      <c r="H20">
        <v>9</v>
      </c>
      <c r="I20">
        <v>90</v>
      </c>
      <c r="J20">
        <v>17</v>
      </c>
      <c r="K20">
        <v>9</v>
      </c>
      <c r="L20" t="s">
        <v>37</v>
      </c>
      <c r="M20">
        <v>507</v>
      </c>
      <c r="N20">
        <v>1210</v>
      </c>
      <c r="O20">
        <v>507</v>
      </c>
      <c r="P20">
        <v>17</v>
      </c>
      <c r="Q20">
        <v>1</v>
      </c>
      <c r="R20">
        <v>3.756507</v>
      </c>
      <c r="S20" t="s">
        <v>27</v>
      </c>
      <c r="T20">
        <v>6.9335499999999999E-4</v>
      </c>
      <c r="U20">
        <v>3.7156400000000001E-3</v>
      </c>
      <c r="V20">
        <v>17</v>
      </c>
      <c r="W20">
        <v>24</v>
      </c>
      <c r="X20">
        <v>47</v>
      </c>
      <c r="Y20">
        <v>17</v>
      </c>
      <c r="AC20">
        <f>U20/U21</f>
        <v>0.77212740671595648</v>
      </c>
      <c r="AD20">
        <f t="shared" ref="AD20" si="4">I20-I21</f>
        <v>-18</v>
      </c>
    </row>
    <row r="21" spans="1:30" x14ac:dyDescent="0.25">
      <c r="A21">
        <v>3.6085330000000001E-3</v>
      </c>
      <c r="B21">
        <v>2.4787401574803098</v>
      </c>
      <c r="C21">
        <v>18.176469802856399</v>
      </c>
      <c r="D21">
        <v>1632</v>
      </c>
      <c r="E21">
        <v>33</v>
      </c>
      <c r="F21">
        <v>17</v>
      </c>
      <c r="G21" t="s">
        <v>25</v>
      </c>
      <c r="H21">
        <v>9</v>
      </c>
      <c r="I21">
        <v>108</v>
      </c>
      <c r="J21">
        <v>17</v>
      </c>
      <c r="K21">
        <v>14</v>
      </c>
      <c r="L21" t="s">
        <v>37</v>
      </c>
      <c r="M21">
        <v>723</v>
      </c>
      <c r="N21">
        <v>1574</v>
      </c>
      <c r="O21">
        <v>723</v>
      </c>
      <c r="P21">
        <v>17</v>
      </c>
      <c r="Q21">
        <v>1</v>
      </c>
      <c r="R21">
        <v>4.8697039999999996</v>
      </c>
      <c r="S21" t="s">
        <v>28</v>
      </c>
      <c r="T21">
        <v>1.204271E-3</v>
      </c>
      <c r="U21">
        <v>4.8122110000000003E-3</v>
      </c>
      <c r="V21">
        <v>17</v>
      </c>
      <c r="W21">
        <v>37</v>
      </c>
      <c r="X21">
        <v>52</v>
      </c>
      <c r="Y21">
        <v>17</v>
      </c>
    </row>
    <row r="22" spans="1:30" x14ac:dyDescent="0.25">
      <c r="A22">
        <v>8.7825999999999998E-3</v>
      </c>
      <c r="B22">
        <v>2.4508196721311402</v>
      </c>
      <c r="C22">
        <v>19.8333339691162</v>
      </c>
      <c r="D22">
        <v>6162</v>
      </c>
      <c r="E22">
        <v>33</v>
      </c>
      <c r="F22">
        <v>23</v>
      </c>
      <c r="G22" t="s">
        <v>25</v>
      </c>
      <c r="H22">
        <v>10</v>
      </c>
      <c r="I22">
        <v>127</v>
      </c>
      <c r="J22">
        <v>23</v>
      </c>
      <c r="K22">
        <v>13</v>
      </c>
      <c r="L22" t="s">
        <v>38</v>
      </c>
      <c r="M22">
        <v>1553</v>
      </c>
      <c r="N22">
        <v>2990</v>
      </c>
      <c r="O22">
        <v>1553</v>
      </c>
      <c r="P22">
        <v>23</v>
      </c>
      <c r="Q22">
        <v>1</v>
      </c>
      <c r="R22">
        <v>13.471126</v>
      </c>
      <c r="S22" t="s">
        <v>27</v>
      </c>
      <c r="T22">
        <v>4.6017419999999998E-3</v>
      </c>
      <c r="U22">
        <v>1.3383720999999999E-2</v>
      </c>
      <c r="V22">
        <v>30</v>
      </c>
      <c r="W22">
        <v>68</v>
      </c>
      <c r="X22">
        <v>34</v>
      </c>
      <c r="Y22">
        <v>23</v>
      </c>
      <c r="AC22">
        <f>U22/U23</f>
        <v>0.93549094867078386</v>
      </c>
      <c r="AD22">
        <f t="shared" ref="AD22" si="5">I22-I23</f>
        <v>10</v>
      </c>
    </row>
    <row r="23" spans="1:30" x14ac:dyDescent="0.25">
      <c r="A23">
        <v>9.2072879999999992E-3</v>
      </c>
      <c r="B23">
        <v>3.0696721311475401</v>
      </c>
      <c r="C23">
        <v>19.8333339691162</v>
      </c>
      <c r="D23">
        <v>6162</v>
      </c>
      <c r="E23">
        <v>33</v>
      </c>
      <c r="F23">
        <v>23</v>
      </c>
      <c r="G23" t="s">
        <v>25</v>
      </c>
      <c r="H23">
        <v>10</v>
      </c>
      <c r="I23">
        <v>117</v>
      </c>
      <c r="J23">
        <v>23</v>
      </c>
      <c r="K23">
        <v>16</v>
      </c>
      <c r="L23" t="s">
        <v>38</v>
      </c>
      <c r="M23">
        <v>1919</v>
      </c>
      <c r="N23">
        <v>3745</v>
      </c>
      <c r="O23">
        <v>1919</v>
      </c>
      <c r="P23">
        <v>23</v>
      </c>
      <c r="Q23">
        <v>1</v>
      </c>
      <c r="R23">
        <v>14.43919</v>
      </c>
      <c r="S23" t="s">
        <v>28</v>
      </c>
      <c r="T23">
        <v>5.0998780000000004E-3</v>
      </c>
      <c r="U23">
        <v>1.4306628E-2</v>
      </c>
      <c r="V23">
        <v>30</v>
      </c>
      <c r="W23">
        <v>70</v>
      </c>
      <c r="X23">
        <v>22</v>
      </c>
      <c r="Y23">
        <v>23</v>
      </c>
    </row>
    <row r="24" spans="1:30" x14ac:dyDescent="0.25">
      <c r="A24">
        <v>1.50435769999999E-2</v>
      </c>
      <c r="B24">
        <v>2.6921221864951699</v>
      </c>
      <c r="C24">
        <v>21.714284896850501</v>
      </c>
      <c r="D24">
        <v>6393</v>
      </c>
      <c r="E24">
        <v>33</v>
      </c>
      <c r="F24">
        <v>24</v>
      </c>
      <c r="G24" t="s">
        <v>25</v>
      </c>
      <c r="H24">
        <v>11</v>
      </c>
      <c r="I24">
        <v>173</v>
      </c>
      <c r="J24">
        <v>24</v>
      </c>
      <c r="K24">
        <v>11</v>
      </c>
      <c r="L24" t="s">
        <v>39</v>
      </c>
      <c r="M24">
        <v>1880</v>
      </c>
      <c r="N24">
        <v>3349</v>
      </c>
      <c r="O24">
        <v>1880</v>
      </c>
      <c r="P24">
        <v>24</v>
      </c>
      <c r="Q24">
        <v>1</v>
      </c>
      <c r="R24">
        <v>26.484310000000001</v>
      </c>
      <c r="S24" t="s">
        <v>27</v>
      </c>
      <c r="T24">
        <v>1.1322392000000001E-2</v>
      </c>
      <c r="U24">
        <v>2.6365390999999998E-2</v>
      </c>
      <c r="V24">
        <v>28</v>
      </c>
      <c r="W24">
        <v>72</v>
      </c>
      <c r="X24">
        <v>75</v>
      </c>
      <c r="Y24">
        <v>24</v>
      </c>
      <c r="AC24">
        <f>U24/U25</f>
        <v>0.90542851031041638</v>
      </c>
      <c r="AD24">
        <f t="shared" ref="AD24" si="6">I24-I25</f>
        <v>4</v>
      </c>
    </row>
    <row r="25" spans="1:30" x14ac:dyDescent="0.25">
      <c r="A25">
        <v>1.5890594000000001E-2</v>
      </c>
      <c r="B25">
        <v>2.9493569131832702</v>
      </c>
      <c r="C25">
        <v>21.714284896850501</v>
      </c>
      <c r="D25">
        <v>6393</v>
      </c>
      <c r="E25">
        <v>33</v>
      </c>
      <c r="F25">
        <v>24</v>
      </c>
      <c r="G25" t="s">
        <v>25</v>
      </c>
      <c r="H25">
        <v>11</v>
      </c>
      <c r="I25">
        <v>169</v>
      </c>
      <c r="J25">
        <v>24</v>
      </c>
      <c r="K25">
        <v>14</v>
      </c>
      <c r="L25" t="s">
        <v>39</v>
      </c>
      <c r="M25">
        <v>1912</v>
      </c>
      <c r="N25">
        <v>3669</v>
      </c>
      <c r="O25">
        <v>1912</v>
      </c>
      <c r="P25">
        <v>24</v>
      </c>
      <c r="Q25">
        <v>1</v>
      </c>
      <c r="R25">
        <v>29.250655999999999</v>
      </c>
      <c r="S25" t="s">
        <v>28</v>
      </c>
      <c r="T25">
        <v>1.3229191E-2</v>
      </c>
      <c r="U25">
        <v>2.9119241000000001E-2</v>
      </c>
      <c r="V25">
        <v>28</v>
      </c>
      <c r="W25">
        <v>76</v>
      </c>
      <c r="X25">
        <v>67</v>
      </c>
      <c r="Y25">
        <v>24</v>
      </c>
    </row>
    <row r="26" spans="1:30" x14ac:dyDescent="0.25">
      <c r="A26">
        <v>8.5498400000000004E-4</v>
      </c>
      <c r="B26">
        <v>1.11993769470404</v>
      </c>
      <c r="C26">
        <v>17.3333339691162</v>
      </c>
      <c r="D26">
        <v>2022</v>
      </c>
      <c r="E26">
        <v>25</v>
      </c>
      <c r="F26">
        <v>4</v>
      </c>
      <c r="G26" t="s">
        <v>25</v>
      </c>
      <c r="H26">
        <v>12</v>
      </c>
      <c r="I26">
        <v>39</v>
      </c>
      <c r="J26">
        <v>4</v>
      </c>
      <c r="K26">
        <v>4</v>
      </c>
      <c r="L26" t="s">
        <v>40</v>
      </c>
      <c r="M26">
        <v>70</v>
      </c>
      <c r="N26">
        <v>719</v>
      </c>
      <c r="O26">
        <v>70</v>
      </c>
      <c r="P26">
        <v>4</v>
      </c>
      <c r="Q26">
        <v>1</v>
      </c>
      <c r="R26">
        <v>0.98031500000000005</v>
      </c>
      <c r="S26" t="s">
        <v>27</v>
      </c>
      <c r="T26" s="1">
        <v>4.7027999999999998E-5</v>
      </c>
      <c r="U26">
        <v>9.0154299999999998E-4</v>
      </c>
      <c r="V26">
        <v>18</v>
      </c>
      <c r="W26">
        <v>2</v>
      </c>
      <c r="X26">
        <v>31</v>
      </c>
      <c r="Y26">
        <v>4</v>
      </c>
      <c r="AC26">
        <f>U26/U27</f>
        <v>1.0716872890754925</v>
      </c>
      <c r="AD26">
        <f t="shared" ref="AD26" si="7">I26-I27</f>
        <v>-4</v>
      </c>
    </row>
    <row r="27" spans="1:30" x14ac:dyDescent="0.25">
      <c r="A27">
        <v>7.9203800000000001E-4</v>
      </c>
      <c r="B27">
        <v>1.11370716510903</v>
      </c>
      <c r="C27">
        <v>17.3333339691162</v>
      </c>
      <c r="D27">
        <v>2022</v>
      </c>
      <c r="E27">
        <v>25</v>
      </c>
      <c r="F27">
        <v>4</v>
      </c>
      <c r="G27" t="s">
        <v>25</v>
      </c>
      <c r="H27">
        <v>12</v>
      </c>
      <c r="I27">
        <v>43</v>
      </c>
      <c r="J27">
        <v>4</v>
      </c>
      <c r="K27">
        <v>3</v>
      </c>
      <c r="L27" t="s">
        <v>40</v>
      </c>
      <c r="M27">
        <v>61</v>
      </c>
      <c r="N27">
        <v>715</v>
      </c>
      <c r="O27">
        <v>61</v>
      </c>
      <c r="P27">
        <v>4</v>
      </c>
      <c r="Q27">
        <v>1</v>
      </c>
      <c r="R27">
        <v>0.87682000000000004</v>
      </c>
      <c r="S27" t="s">
        <v>28</v>
      </c>
      <c r="T27" s="1">
        <v>4.9577000000000003E-5</v>
      </c>
      <c r="U27">
        <v>8.41237E-4</v>
      </c>
      <c r="V27">
        <v>18</v>
      </c>
      <c r="W27">
        <v>1</v>
      </c>
      <c r="X27">
        <v>36</v>
      </c>
      <c r="Y27">
        <v>4</v>
      </c>
    </row>
    <row r="28" spans="1:30" x14ac:dyDescent="0.25">
      <c r="A28">
        <v>7.5060399999999998E-4</v>
      </c>
      <c r="B28">
        <v>1.52287581699346</v>
      </c>
      <c r="C28">
        <v>14.800000190734799</v>
      </c>
      <c r="D28">
        <v>87</v>
      </c>
      <c r="E28">
        <v>25</v>
      </c>
      <c r="F28">
        <v>5</v>
      </c>
      <c r="G28" t="s">
        <v>25</v>
      </c>
      <c r="H28">
        <v>13</v>
      </c>
      <c r="I28">
        <v>56</v>
      </c>
      <c r="J28">
        <v>5</v>
      </c>
      <c r="K28">
        <v>4</v>
      </c>
      <c r="L28" t="s">
        <v>41</v>
      </c>
      <c r="M28">
        <v>72</v>
      </c>
      <c r="N28">
        <v>233</v>
      </c>
      <c r="O28">
        <v>72</v>
      </c>
      <c r="P28">
        <v>5</v>
      </c>
      <c r="Q28">
        <v>1</v>
      </c>
      <c r="R28">
        <v>0.83994599999999997</v>
      </c>
      <c r="S28" t="s">
        <v>27</v>
      </c>
      <c r="T28" s="1">
        <v>7.0760999999999996E-5</v>
      </c>
      <c r="U28">
        <v>8.2089900000000004E-4</v>
      </c>
      <c r="V28">
        <v>5</v>
      </c>
      <c r="W28">
        <v>3</v>
      </c>
      <c r="X28">
        <v>46</v>
      </c>
      <c r="Y28">
        <v>5</v>
      </c>
      <c r="AC28">
        <f>U28/U29</f>
        <v>1.3192430695058257</v>
      </c>
      <c r="AD28">
        <f t="shared" ref="AD28" si="8">I28-I29</f>
        <v>4</v>
      </c>
    </row>
    <row r="29" spans="1:30" x14ac:dyDescent="0.25">
      <c r="A29">
        <v>5.3181799999999998E-4</v>
      </c>
      <c r="B29">
        <v>1.5424836601307099</v>
      </c>
      <c r="C29">
        <v>14.800000190734799</v>
      </c>
      <c r="D29">
        <v>87</v>
      </c>
      <c r="E29">
        <v>25</v>
      </c>
      <c r="F29">
        <v>5</v>
      </c>
      <c r="G29" t="s">
        <v>25</v>
      </c>
      <c r="H29">
        <v>13</v>
      </c>
      <c r="I29">
        <v>52</v>
      </c>
      <c r="J29">
        <v>5</v>
      </c>
      <c r="K29">
        <v>5</v>
      </c>
      <c r="L29" t="s">
        <v>41</v>
      </c>
      <c r="M29">
        <v>67</v>
      </c>
      <c r="N29">
        <v>236</v>
      </c>
      <c r="O29">
        <v>67</v>
      </c>
      <c r="P29">
        <v>5</v>
      </c>
      <c r="Q29">
        <v>1</v>
      </c>
      <c r="R29">
        <v>0.63552900000000001</v>
      </c>
      <c r="S29" t="s">
        <v>28</v>
      </c>
      <c r="T29" s="1">
        <v>9.098E-5</v>
      </c>
      <c r="U29">
        <v>6.2224999999999997E-4</v>
      </c>
      <c r="V29">
        <v>5</v>
      </c>
      <c r="W29">
        <v>3</v>
      </c>
      <c r="X29">
        <v>42</v>
      </c>
      <c r="Y29">
        <v>5</v>
      </c>
    </row>
    <row r="30" spans="1:30" x14ac:dyDescent="0.25">
      <c r="A30">
        <v>1.401184E-3</v>
      </c>
      <c r="B30">
        <v>2</v>
      </c>
      <c r="C30">
        <v>16.799999237060501</v>
      </c>
      <c r="D30">
        <v>136</v>
      </c>
      <c r="E30">
        <v>20</v>
      </c>
      <c r="F30">
        <v>5</v>
      </c>
      <c r="G30" t="s">
        <v>25</v>
      </c>
      <c r="H30">
        <v>14</v>
      </c>
      <c r="I30">
        <v>50</v>
      </c>
      <c r="J30">
        <v>5</v>
      </c>
      <c r="K30">
        <v>6</v>
      </c>
      <c r="L30" t="s">
        <v>42</v>
      </c>
      <c r="M30">
        <v>160</v>
      </c>
      <c r="N30">
        <v>346</v>
      </c>
      <c r="O30">
        <v>160</v>
      </c>
      <c r="P30">
        <v>5</v>
      </c>
      <c r="Q30">
        <v>1</v>
      </c>
      <c r="R30">
        <v>1.691961</v>
      </c>
      <c r="S30" t="s">
        <v>27</v>
      </c>
      <c r="T30">
        <v>2.3845600000000001E-4</v>
      </c>
      <c r="U30">
        <v>1.63911E-3</v>
      </c>
      <c r="V30">
        <v>5</v>
      </c>
      <c r="W30">
        <v>5</v>
      </c>
      <c r="X30">
        <v>38</v>
      </c>
      <c r="Y30">
        <v>5</v>
      </c>
      <c r="AC30">
        <f>U30/U31</f>
        <v>1.2977272691285149</v>
      </c>
      <c r="AD30">
        <f t="shared" ref="AD30" si="9">I30-I31</f>
        <v>3</v>
      </c>
    </row>
    <row r="31" spans="1:30" x14ac:dyDescent="0.25">
      <c r="A31">
        <v>1.0627200000000001E-3</v>
      </c>
      <c r="B31">
        <v>2.03468208092485</v>
      </c>
      <c r="C31">
        <v>16.799999237060501</v>
      </c>
      <c r="D31">
        <v>136</v>
      </c>
      <c r="E31">
        <v>20</v>
      </c>
      <c r="F31">
        <v>5</v>
      </c>
      <c r="G31" t="s">
        <v>25</v>
      </c>
      <c r="H31">
        <v>14</v>
      </c>
      <c r="I31">
        <v>47</v>
      </c>
      <c r="J31">
        <v>5</v>
      </c>
      <c r="K31">
        <v>6</v>
      </c>
      <c r="L31" t="s">
        <v>42</v>
      </c>
      <c r="M31">
        <v>151</v>
      </c>
      <c r="N31">
        <v>352</v>
      </c>
      <c r="O31">
        <v>151</v>
      </c>
      <c r="P31">
        <v>5</v>
      </c>
      <c r="Q31">
        <v>1</v>
      </c>
      <c r="R31">
        <v>1.392293</v>
      </c>
      <c r="S31" t="s">
        <v>28</v>
      </c>
      <c r="T31">
        <v>2.0989700000000001E-4</v>
      </c>
      <c r="U31">
        <v>1.2630619999999999E-3</v>
      </c>
      <c r="V31">
        <v>5</v>
      </c>
      <c r="W31">
        <v>4</v>
      </c>
      <c r="X31">
        <v>36</v>
      </c>
      <c r="Y31">
        <v>5</v>
      </c>
    </row>
    <row r="32" spans="1:30" x14ac:dyDescent="0.25">
      <c r="A32">
        <v>3.7582319999999998E-3</v>
      </c>
      <c r="B32">
        <v>2.1276595744680802</v>
      </c>
      <c r="C32">
        <v>15.949999809265099</v>
      </c>
      <c r="D32">
        <v>2246</v>
      </c>
      <c r="E32">
        <v>25</v>
      </c>
      <c r="F32">
        <v>16</v>
      </c>
      <c r="G32" t="s">
        <v>25</v>
      </c>
      <c r="H32">
        <v>15</v>
      </c>
      <c r="I32">
        <v>121</v>
      </c>
      <c r="J32">
        <v>16</v>
      </c>
      <c r="K32">
        <v>13</v>
      </c>
      <c r="L32" t="s">
        <v>43</v>
      </c>
      <c r="M32">
        <v>643</v>
      </c>
      <c r="N32">
        <v>1400</v>
      </c>
      <c r="O32">
        <v>643</v>
      </c>
      <c r="P32">
        <v>16</v>
      </c>
      <c r="Q32">
        <v>1</v>
      </c>
      <c r="R32">
        <v>5.1611269999999996</v>
      </c>
      <c r="S32" t="s">
        <v>27</v>
      </c>
      <c r="T32">
        <v>1.36385E-3</v>
      </c>
      <c r="U32">
        <v>5.1215899999999996E-3</v>
      </c>
      <c r="V32">
        <v>20</v>
      </c>
      <c r="W32">
        <v>47</v>
      </c>
      <c r="X32">
        <v>56</v>
      </c>
      <c r="Y32">
        <v>16</v>
      </c>
      <c r="AC32">
        <f>U32/U33</f>
        <v>1.2351025829745732</v>
      </c>
      <c r="AD32">
        <f t="shared" ref="AD32" si="10">I32-I33</f>
        <v>41</v>
      </c>
    </row>
    <row r="33" spans="1:30" x14ac:dyDescent="0.25">
      <c r="A33">
        <v>3.1488760000000001E-3</v>
      </c>
      <c r="B33">
        <v>2.6686930091185399</v>
      </c>
      <c r="C33">
        <v>15.949999809265099</v>
      </c>
      <c r="D33">
        <v>2246</v>
      </c>
      <c r="E33">
        <v>25</v>
      </c>
      <c r="F33">
        <v>16</v>
      </c>
      <c r="G33" t="s">
        <v>25</v>
      </c>
      <c r="H33">
        <v>15</v>
      </c>
      <c r="I33">
        <v>80</v>
      </c>
      <c r="J33">
        <v>16</v>
      </c>
      <c r="K33">
        <v>15</v>
      </c>
      <c r="L33" t="s">
        <v>43</v>
      </c>
      <c r="M33">
        <v>806</v>
      </c>
      <c r="N33">
        <v>1756</v>
      </c>
      <c r="O33">
        <v>806</v>
      </c>
      <c r="P33">
        <v>16</v>
      </c>
      <c r="Q33">
        <v>1</v>
      </c>
      <c r="R33">
        <v>4.2309169999999998</v>
      </c>
      <c r="S33" t="s">
        <v>28</v>
      </c>
      <c r="T33">
        <v>9.9831599999999996E-4</v>
      </c>
      <c r="U33">
        <v>4.1466920000000004E-3</v>
      </c>
      <c r="V33">
        <v>20</v>
      </c>
      <c r="W33">
        <v>44</v>
      </c>
      <c r="X33">
        <v>18</v>
      </c>
      <c r="Y33">
        <v>16</v>
      </c>
    </row>
    <row r="34" spans="1:30" x14ac:dyDescent="0.25">
      <c r="A34">
        <v>1.5559509999999901E-3</v>
      </c>
      <c r="B34">
        <v>1.6010928961748601</v>
      </c>
      <c r="C34">
        <v>17.799999237060501</v>
      </c>
      <c r="D34">
        <v>136</v>
      </c>
      <c r="E34">
        <v>25</v>
      </c>
      <c r="F34">
        <v>2</v>
      </c>
      <c r="G34" t="s">
        <v>25</v>
      </c>
      <c r="H34">
        <v>16</v>
      </c>
      <c r="I34">
        <v>73</v>
      </c>
      <c r="J34">
        <v>2</v>
      </c>
      <c r="K34">
        <v>4</v>
      </c>
      <c r="L34" t="s">
        <v>44</v>
      </c>
      <c r="M34">
        <v>102</v>
      </c>
      <c r="N34">
        <v>293</v>
      </c>
      <c r="O34">
        <v>102</v>
      </c>
      <c r="P34">
        <v>2</v>
      </c>
      <c r="Q34">
        <v>1</v>
      </c>
      <c r="R34">
        <v>1.8504510000000001</v>
      </c>
      <c r="S34" t="s">
        <v>27</v>
      </c>
      <c r="T34">
        <v>2.6391400000000002E-4</v>
      </c>
      <c r="U34">
        <v>1.8192460000000001E-3</v>
      </c>
      <c r="V34">
        <v>5</v>
      </c>
      <c r="W34">
        <v>3</v>
      </c>
      <c r="X34">
        <v>66</v>
      </c>
      <c r="Y34">
        <v>2</v>
      </c>
      <c r="AC34">
        <f>U34/U35</f>
        <v>1.1225513456145277</v>
      </c>
      <c r="AD34">
        <f t="shared" ref="AD34" si="11">I34-I35</f>
        <v>4</v>
      </c>
    </row>
    <row r="35" spans="1:30" x14ac:dyDescent="0.25">
      <c r="A35">
        <v>1.3704239999999901E-3</v>
      </c>
      <c r="B35">
        <v>1.55737704918032</v>
      </c>
      <c r="C35">
        <v>17.799999237060501</v>
      </c>
      <c r="D35">
        <v>136</v>
      </c>
      <c r="E35">
        <v>25</v>
      </c>
      <c r="F35">
        <v>2</v>
      </c>
      <c r="G35" t="s">
        <v>25</v>
      </c>
      <c r="H35">
        <v>16</v>
      </c>
      <c r="I35">
        <v>69</v>
      </c>
      <c r="J35">
        <v>2</v>
      </c>
      <c r="K35">
        <v>3</v>
      </c>
      <c r="L35" t="s">
        <v>44</v>
      </c>
      <c r="M35">
        <v>90</v>
      </c>
      <c r="N35">
        <v>285</v>
      </c>
      <c r="O35">
        <v>90</v>
      </c>
      <c r="P35">
        <v>2</v>
      </c>
      <c r="Q35">
        <v>1</v>
      </c>
      <c r="R35">
        <v>1.649921</v>
      </c>
      <c r="S35" t="s">
        <v>28</v>
      </c>
      <c r="T35">
        <v>2.5070799999999999E-4</v>
      </c>
      <c r="U35">
        <v>1.620635E-3</v>
      </c>
      <c r="V35">
        <v>5</v>
      </c>
      <c r="W35">
        <v>2</v>
      </c>
      <c r="X35">
        <v>63</v>
      </c>
      <c r="Y35">
        <v>2</v>
      </c>
    </row>
    <row r="36" spans="1:30" x14ac:dyDescent="0.25">
      <c r="A36">
        <v>3.4389099999999998E-4</v>
      </c>
      <c r="B36">
        <v>1.09554140127388</v>
      </c>
      <c r="C36">
        <v>15.199999809265099</v>
      </c>
      <c r="D36">
        <v>93</v>
      </c>
      <c r="E36">
        <v>25</v>
      </c>
      <c r="F36">
        <v>2</v>
      </c>
      <c r="G36" t="s">
        <v>25</v>
      </c>
      <c r="H36">
        <v>17</v>
      </c>
      <c r="I36">
        <v>17</v>
      </c>
      <c r="J36">
        <v>2</v>
      </c>
      <c r="K36">
        <v>2</v>
      </c>
      <c r="L36" t="s">
        <v>45</v>
      </c>
      <c r="M36">
        <v>13</v>
      </c>
      <c r="N36">
        <v>172</v>
      </c>
      <c r="O36">
        <v>13</v>
      </c>
      <c r="P36">
        <v>2</v>
      </c>
      <c r="Q36">
        <v>1</v>
      </c>
      <c r="R36">
        <v>0.39187699999999998</v>
      </c>
      <c r="S36" t="s">
        <v>27</v>
      </c>
      <c r="T36" s="1">
        <v>2.6084999999999998E-5</v>
      </c>
      <c r="U36">
        <v>3.69484E-4</v>
      </c>
      <c r="V36">
        <v>5</v>
      </c>
      <c r="W36">
        <v>0</v>
      </c>
      <c r="X36">
        <v>13</v>
      </c>
      <c r="Y36">
        <v>2</v>
      </c>
      <c r="AC36">
        <f>U36/U37</f>
        <v>1.2410827950596384</v>
      </c>
      <c r="AD36">
        <f t="shared" ref="AD36" si="12">I36-I37</f>
        <v>1</v>
      </c>
    </row>
    <row r="37" spans="1:30" x14ac:dyDescent="0.25">
      <c r="A37">
        <v>2.83396E-4</v>
      </c>
      <c r="B37">
        <v>1.1019108280254699</v>
      </c>
      <c r="C37">
        <v>15.199999809265099</v>
      </c>
      <c r="D37">
        <v>93</v>
      </c>
      <c r="E37">
        <v>25</v>
      </c>
      <c r="F37">
        <v>2</v>
      </c>
      <c r="G37" t="s">
        <v>25</v>
      </c>
      <c r="H37">
        <v>17</v>
      </c>
      <c r="I37">
        <v>16</v>
      </c>
      <c r="J37">
        <v>2</v>
      </c>
      <c r="K37">
        <v>2</v>
      </c>
      <c r="L37" t="s">
        <v>45</v>
      </c>
      <c r="M37">
        <v>12</v>
      </c>
      <c r="N37">
        <v>173</v>
      </c>
      <c r="O37">
        <v>12</v>
      </c>
      <c r="P37">
        <v>2</v>
      </c>
      <c r="Q37">
        <v>1</v>
      </c>
      <c r="R37">
        <v>0.31151699999999999</v>
      </c>
      <c r="S37" t="s">
        <v>28</v>
      </c>
      <c r="T37" s="1">
        <v>1.4800000000000001E-5</v>
      </c>
      <c r="U37">
        <v>2.9771099999999998E-4</v>
      </c>
      <c r="V37">
        <v>5</v>
      </c>
      <c r="W37">
        <v>0</v>
      </c>
      <c r="X37">
        <v>12</v>
      </c>
      <c r="Y37">
        <v>2</v>
      </c>
    </row>
    <row r="38" spans="1:30" x14ac:dyDescent="0.25">
      <c r="A38">
        <v>3.8732269999999999E-3</v>
      </c>
      <c r="B38">
        <v>2.9126984126984099</v>
      </c>
      <c r="C38">
        <v>15.25</v>
      </c>
      <c r="D38">
        <v>2865</v>
      </c>
      <c r="E38">
        <v>25</v>
      </c>
      <c r="F38">
        <v>25</v>
      </c>
      <c r="G38" t="s">
        <v>25</v>
      </c>
      <c r="H38">
        <v>18</v>
      </c>
      <c r="I38">
        <v>89</v>
      </c>
      <c r="J38">
        <v>25</v>
      </c>
      <c r="K38">
        <v>18</v>
      </c>
      <c r="L38" t="s">
        <v>46</v>
      </c>
      <c r="M38">
        <v>1358</v>
      </c>
      <c r="N38">
        <v>2202</v>
      </c>
      <c r="O38">
        <v>1358</v>
      </c>
      <c r="P38">
        <v>25</v>
      </c>
      <c r="Q38">
        <v>1</v>
      </c>
      <c r="R38">
        <v>5.4038550000000001</v>
      </c>
      <c r="S38" t="s">
        <v>27</v>
      </c>
      <c r="T38">
        <v>1.4626800000000001E-3</v>
      </c>
      <c r="U38">
        <v>5.335256E-3</v>
      </c>
      <c r="V38">
        <v>24</v>
      </c>
      <c r="W38">
        <v>44</v>
      </c>
      <c r="X38">
        <v>18</v>
      </c>
      <c r="Y38">
        <v>25</v>
      </c>
      <c r="AC38">
        <f>U38/U39</f>
        <v>0.56344497914878366</v>
      </c>
      <c r="AD38">
        <f t="shared" ref="AD38" si="13">I38-I39</f>
        <v>-23</v>
      </c>
    </row>
    <row r="39" spans="1:30" x14ac:dyDescent="0.25">
      <c r="A39">
        <v>6.4189179999999896E-3</v>
      </c>
      <c r="B39">
        <v>2.4801587301587298</v>
      </c>
      <c r="C39">
        <v>15.25</v>
      </c>
      <c r="D39">
        <v>2865</v>
      </c>
      <c r="E39">
        <v>25</v>
      </c>
      <c r="F39">
        <v>25</v>
      </c>
      <c r="G39" t="s">
        <v>25</v>
      </c>
      <c r="H39">
        <v>18</v>
      </c>
      <c r="I39">
        <v>112</v>
      </c>
      <c r="J39">
        <v>25</v>
      </c>
      <c r="K39">
        <v>16</v>
      </c>
      <c r="L39" t="s">
        <v>46</v>
      </c>
      <c r="M39">
        <v>722</v>
      </c>
      <c r="N39">
        <v>1875</v>
      </c>
      <c r="O39">
        <v>722</v>
      </c>
      <c r="P39">
        <v>25</v>
      </c>
      <c r="Q39">
        <v>1</v>
      </c>
      <c r="R39">
        <v>9.5623059999999995</v>
      </c>
      <c r="S39" t="s">
        <v>28</v>
      </c>
      <c r="T39">
        <v>3.0510849999999998E-3</v>
      </c>
      <c r="U39">
        <v>9.4689920000000007E-3</v>
      </c>
      <c r="V39">
        <v>24</v>
      </c>
      <c r="W39">
        <v>43</v>
      </c>
      <c r="X39">
        <v>42</v>
      </c>
      <c r="Y39">
        <v>25</v>
      </c>
    </row>
    <row r="40" spans="1:30" x14ac:dyDescent="0.25">
      <c r="A40">
        <v>4.5041699999999999E-4</v>
      </c>
      <c r="B40">
        <v>1.2949640287769699</v>
      </c>
      <c r="C40">
        <v>13.399999618530201</v>
      </c>
      <c r="D40">
        <v>72</v>
      </c>
      <c r="E40">
        <v>25</v>
      </c>
      <c r="F40">
        <v>6</v>
      </c>
      <c r="G40" t="s">
        <v>25</v>
      </c>
      <c r="H40">
        <v>19</v>
      </c>
      <c r="I40">
        <v>47</v>
      </c>
      <c r="J40">
        <v>6</v>
      </c>
      <c r="K40">
        <v>2</v>
      </c>
      <c r="L40" t="s">
        <v>47</v>
      </c>
      <c r="M40">
        <v>39</v>
      </c>
      <c r="N40">
        <v>180</v>
      </c>
      <c r="O40">
        <v>39</v>
      </c>
      <c r="P40">
        <v>6</v>
      </c>
      <c r="Q40">
        <v>1</v>
      </c>
      <c r="R40">
        <v>0.506046</v>
      </c>
      <c r="S40" t="s">
        <v>27</v>
      </c>
      <c r="T40" s="1">
        <v>3.5935000000000001E-5</v>
      </c>
      <c r="U40">
        <v>4.85835E-4</v>
      </c>
      <c r="V40">
        <v>5</v>
      </c>
      <c r="W40">
        <v>0</v>
      </c>
      <c r="X40">
        <v>39</v>
      </c>
      <c r="Y40">
        <v>6</v>
      </c>
      <c r="AC40">
        <f>U40/U41</f>
        <v>1.0607426847214276</v>
      </c>
      <c r="AD40">
        <f t="shared" ref="AD40" si="14">I40-I41</f>
        <v>2</v>
      </c>
    </row>
    <row r="41" spans="1:30" x14ac:dyDescent="0.25">
      <c r="A41">
        <v>4.2489600000000002E-4</v>
      </c>
      <c r="B41">
        <v>1.2949640287769699</v>
      </c>
      <c r="C41">
        <v>13.399999618530201</v>
      </c>
      <c r="D41">
        <v>72</v>
      </c>
      <c r="E41">
        <v>25</v>
      </c>
      <c r="F41">
        <v>6</v>
      </c>
      <c r="G41" t="s">
        <v>25</v>
      </c>
      <c r="H41">
        <v>19</v>
      </c>
      <c r="I41">
        <v>45</v>
      </c>
      <c r="J41">
        <v>6</v>
      </c>
      <c r="K41">
        <v>2</v>
      </c>
      <c r="L41" t="s">
        <v>47</v>
      </c>
      <c r="M41">
        <v>37</v>
      </c>
      <c r="N41">
        <v>180</v>
      </c>
      <c r="O41">
        <v>37</v>
      </c>
      <c r="P41">
        <v>6</v>
      </c>
      <c r="Q41">
        <v>1</v>
      </c>
      <c r="R41">
        <v>0.48002899999999998</v>
      </c>
      <c r="S41" t="s">
        <v>28</v>
      </c>
      <c r="T41" s="1">
        <v>3.3560999999999999E-5</v>
      </c>
      <c r="U41">
        <v>4.5801400000000002E-4</v>
      </c>
      <c r="V41">
        <v>5</v>
      </c>
      <c r="W41">
        <v>0</v>
      </c>
      <c r="X41">
        <v>37</v>
      </c>
      <c r="Y41">
        <v>6</v>
      </c>
    </row>
    <row r="42" spans="1:30" x14ac:dyDescent="0.25">
      <c r="A42">
        <v>2.6236369999999998E-3</v>
      </c>
      <c r="B42">
        <v>2.7817258883248699</v>
      </c>
      <c r="C42">
        <v>13.571428298950099</v>
      </c>
      <c r="D42">
        <v>150</v>
      </c>
      <c r="E42">
        <v>25</v>
      </c>
      <c r="F42">
        <v>7</v>
      </c>
      <c r="G42" t="s">
        <v>25</v>
      </c>
      <c r="H42">
        <v>20</v>
      </c>
      <c r="I42">
        <v>96</v>
      </c>
      <c r="J42">
        <v>7</v>
      </c>
      <c r="K42">
        <v>8</v>
      </c>
      <c r="L42" t="s">
        <v>48</v>
      </c>
      <c r="M42">
        <v>326</v>
      </c>
      <c r="N42">
        <v>548</v>
      </c>
      <c r="O42">
        <v>326</v>
      </c>
      <c r="P42">
        <v>7</v>
      </c>
      <c r="Q42">
        <v>1</v>
      </c>
      <c r="R42">
        <v>3.268621</v>
      </c>
      <c r="S42" t="s">
        <v>27</v>
      </c>
      <c r="T42">
        <v>6.1884699999999995E-4</v>
      </c>
      <c r="U42">
        <v>3.2419760000000001E-3</v>
      </c>
      <c r="V42">
        <v>7</v>
      </c>
      <c r="W42">
        <v>9</v>
      </c>
      <c r="X42">
        <v>78</v>
      </c>
      <c r="Y42">
        <v>7</v>
      </c>
      <c r="AC42">
        <f>U42/U43</f>
        <v>1.3561887550956808</v>
      </c>
      <c r="AD42">
        <f t="shared" ref="AD42" si="15">I42-I43</f>
        <v>12</v>
      </c>
    </row>
    <row r="43" spans="1:30" x14ac:dyDescent="0.25">
      <c r="A43">
        <v>1.8984E-3</v>
      </c>
      <c r="B43">
        <v>2.8984771573604</v>
      </c>
      <c r="C43">
        <v>13.571428298950099</v>
      </c>
      <c r="D43">
        <v>150</v>
      </c>
      <c r="E43">
        <v>25</v>
      </c>
      <c r="F43">
        <v>7</v>
      </c>
      <c r="G43" t="s">
        <v>25</v>
      </c>
      <c r="H43">
        <v>20</v>
      </c>
      <c r="I43">
        <v>84</v>
      </c>
      <c r="J43">
        <v>7</v>
      </c>
      <c r="K43">
        <v>8</v>
      </c>
      <c r="L43" t="s">
        <v>48</v>
      </c>
      <c r="M43">
        <v>312</v>
      </c>
      <c r="N43">
        <v>571</v>
      </c>
      <c r="O43">
        <v>312</v>
      </c>
      <c r="P43">
        <v>7</v>
      </c>
      <c r="Q43">
        <v>1</v>
      </c>
      <c r="R43">
        <v>2.4357989999999998</v>
      </c>
      <c r="S43" t="s">
        <v>28</v>
      </c>
      <c r="T43">
        <v>4.9262299999999998E-4</v>
      </c>
      <c r="U43">
        <v>2.3905049999999998E-3</v>
      </c>
      <c r="V43">
        <v>7</v>
      </c>
      <c r="W43">
        <v>10</v>
      </c>
      <c r="X43">
        <v>65</v>
      </c>
      <c r="Y43">
        <v>7</v>
      </c>
    </row>
    <row r="44" spans="1:30" x14ac:dyDescent="0.25">
      <c r="A44">
        <v>1.9107880000000001E-3</v>
      </c>
      <c r="B44">
        <v>2.6631578947368402</v>
      </c>
      <c r="C44">
        <v>11.375</v>
      </c>
      <c r="D44">
        <v>130</v>
      </c>
      <c r="E44">
        <v>25</v>
      </c>
      <c r="F44">
        <v>10</v>
      </c>
      <c r="G44" t="s">
        <v>25</v>
      </c>
      <c r="H44">
        <v>21</v>
      </c>
      <c r="I44">
        <v>64</v>
      </c>
      <c r="J44">
        <v>10</v>
      </c>
      <c r="K44">
        <v>8</v>
      </c>
      <c r="L44" t="s">
        <v>49</v>
      </c>
      <c r="M44">
        <v>285</v>
      </c>
      <c r="N44">
        <v>506</v>
      </c>
      <c r="O44">
        <v>285</v>
      </c>
      <c r="P44">
        <v>10</v>
      </c>
      <c r="Q44">
        <v>1</v>
      </c>
      <c r="R44">
        <v>2.256456</v>
      </c>
      <c r="S44" t="s">
        <v>27</v>
      </c>
      <c r="T44">
        <v>3.2234499999999998E-4</v>
      </c>
      <c r="U44">
        <v>2.2323339999999999E-3</v>
      </c>
      <c r="V44">
        <v>8</v>
      </c>
      <c r="W44">
        <v>12</v>
      </c>
      <c r="X44">
        <v>40</v>
      </c>
      <c r="Y44">
        <v>10</v>
      </c>
      <c r="AC44">
        <f>U44/U45</f>
        <v>1.1383494464890078</v>
      </c>
      <c r="AD44">
        <f t="shared" ref="AD44" si="16">I44-I45</f>
        <v>-3</v>
      </c>
    </row>
    <row r="45" spans="1:30" x14ac:dyDescent="0.25">
      <c r="A45">
        <v>1.611693E-3</v>
      </c>
      <c r="B45">
        <v>3.2421052631578902</v>
      </c>
      <c r="C45">
        <v>11.375</v>
      </c>
      <c r="D45">
        <v>130</v>
      </c>
      <c r="E45">
        <v>25</v>
      </c>
      <c r="F45">
        <v>10</v>
      </c>
      <c r="G45" t="s">
        <v>25</v>
      </c>
      <c r="H45">
        <v>21</v>
      </c>
      <c r="I45">
        <v>67</v>
      </c>
      <c r="J45">
        <v>10</v>
      </c>
      <c r="K45">
        <v>13</v>
      </c>
      <c r="L45" t="s">
        <v>49</v>
      </c>
      <c r="M45">
        <v>352</v>
      </c>
      <c r="N45">
        <v>616</v>
      </c>
      <c r="O45">
        <v>352</v>
      </c>
      <c r="P45">
        <v>10</v>
      </c>
      <c r="Q45">
        <v>1</v>
      </c>
      <c r="R45">
        <v>2.0058669999999998</v>
      </c>
      <c r="S45" t="s">
        <v>28</v>
      </c>
      <c r="T45">
        <v>3.4980200000000002E-4</v>
      </c>
      <c r="U45">
        <v>1.9610270000000002E-3</v>
      </c>
      <c r="V45">
        <v>8</v>
      </c>
      <c r="W45">
        <v>13</v>
      </c>
      <c r="X45">
        <v>42</v>
      </c>
      <c r="Y45">
        <v>10</v>
      </c>
    </row>
    <row r="46" spans="1:30" x14ac:dyDescent="0.25">
      <c r="A46">
        <v>4.8973180000000003E-3</v>
      </c>
      <c r="B46">
        <v>2.7220125786163498</v>
      </c>
      <c r="C46">
        <v>15.399999618530201</v>
      </c>
      <c r="D46">
        <v>3202</v>
      </c>
      <c r="E46">
        <v>25</v>
      </c>
      <c r="F46">
        <v>23</v>
      </c>
      <c r="G46" t="s">
        <v>25</v>
      </c>
      <c r="H46">
        <v>22</v>
      </c>
      <c r="I46">
        <v>112</v>
      </c>
      <c r="J46">
        <v>23</v>
      </c>
      <c r="K46">
        <v>28</v>
      </c>
      <c r="L46" t="s">
        <v>50</v>
      </c>
      <c r="M46">
        <v>1270</v>
      </c>
      <c r="N46">
        <v>2164</v>
      </c>
      <c r="O46">
        <v>1270</v>
      </c>
      <c r="P46">
        <v>23</v>
      </c>
      <c r="Q46">
        <v>1</v>
      </c>
      <c r="R46">
        <v>7.53904</v>
      </c>
      <c r="S46" t="s">
        <v>27</v>
      </c>
      <c r="T46">
        <v>2.588814E-3</v>
      </c>
      <c r="U46">
        <v>7.4855110000000002E-3</v>
      </c>
      <c r="V46">
        <v>25</v>
      </c>
      <c r="W46">
        <v>75</v>
      </c>
      <c r="X46">
        <v>12</v>
      </c>
      <c r="Y46">
        <v>23</v>
      </c>
      <c r="AC46">
        <f>U46/U47</f>
        <v>0.96445097303045768</v>
      </c>
      <c r="AD46">
        <f t="shared" ref="AD46" si="17">I46-I47</f>
        <v>2</v>
      </c>
    </row>
    <row r="47" spans="1:30" x14ac:dyDescent="0.25">
      <c r="A47">
        <v>5.4323899999999996E-3</v>
      </c>
      <c r="B47">
        <v>2.7283018867924498</v>
      </c>
      <c r="C47">
        <v>15.399999618530201</v>
      </c>
      <c r="D47">
        <v>3202</v>
      </c>
      <c r="E47">
        <v>25</v>
      </c>
      <c r="F47">
        <v>23</v>
      </c>
      <c r="G47" t="s">
        <v>25</v>
      </c>
      <c r="H47">
        <v>22</v>
      </c>
      <c r="I47">
        <v>110</v>
      </c>
      <c r="J47">
        <v>23</v>
      </c>
      <c r="K47">
        <v>29</v>
      </c>
      <c r="L47" t="s">
        <v>50</v>
      </c>
      <c r="M47">
        <v>842</v>
      </c>
      <c r="N47">
        <v>2169</v>
      </c>
      <c r="O47">
        <v>842</v>
      </c>
      <c r="P47">
        <v>23</v>
      </c>
      <c r="Q47">
        <v>1</v>
      </c>
      <c r="R47">
        <v>7.8500259999999997</v>
      </c>
      <c r="S47" t="s">
        <v>28</v>
      </c>
      <c r="T47">
        <v>2.3298820000000001E-3</v>
      </c>
      <c r="U47">
        <v>7.7614219999999996E-3</v>
      </c>
      <c r="V47">
        <v>25</v>
      </c>
      <c r="W47">
        <v>46</v>
      </c>
      <c r="X47">
        <v>39</v>
      </c>
      <c r="Y47">
        <v>23</v>
      </c>
    </row>
    <row r="48" spans="1:30" x14ac:dyDescent="0.25">
      <c r="A48">
        <v>1.717793E-3</v>
      </c>
      <c r="B48">
        <v>1.5598290598290501</v>
      </c>
      <c r="C48">
        <v>16.214284896850501</v>
      </c>
      <c r="D48">
        <v>970</v>
      </c>
      <c r="E48">
        <v>25</v>
      </c>
      <c r="F48">
        <v>6</v>
      </c>
      <c r="G48" t="s">
        <v>25</v>
      </c>
      <c r="H48">
        <v>23</v>
      </c>
      <c r="I48">
        <v>57</v>
      </c>
      <c r="J48">
        <v>6</v>
      </c>
      <c r="K48">
        <v>7</v>
      </c>
      <c r="L48" t="s">
        <v>51</v>
      </c>
      <c r="M48">
        <v>224</v>
      </c>
      <c r="N48">
        <v>730</v>
      </c>
      <c r="O48">
        <v>224</v>
      </c>
      <c r="P48">
        <v>6</v>
      </c>
      <c r="Q48">
        <v>1</v>
      </c>
      <c r="R48">
        <v>1.975155</v>
      </c>
      <c r="S48" t="s">
        <v>27</v>
      </c>
      <c r="T48">
        <v>2.2364600000000001E-4</v>
      </c>
      <c r="U48">
        <v>1.9409E-3</v>
      </c>
      <c r="V48">
        <v>14</v>
      </c>
      <c r="W48">
        <v>16</v>
      </c>
      <c r="X48">
        <v>33</v>
      </c>
      <c r="Y48">
        <v>6</v>
      </c>
      <c r="AC48">
        <f>U48/U49</f>
        <v>1.2422801527680081</v>
      </c>
      <c r="AD48">
        <f t="shared" ref="AD48" si="18">I48-I49</f>
        <v>2</v>
      </c>
    </row>
    <row r="49" spans="1:30" x14ac:dyDescent="0.25">
      <c r="A49">
        <v>1.3798599999999999E-3</v>
      </c>
      <c r="B49">
        <v>1.7414529914529899</v>
      </c>
      <c r="C49">
        <v>16.214284896850501</v>
      </c>
      <c r="D49">
        <v>970</v>
      </c>
      <c r="E49">
        <v>25</v>
      </c>
      <c r="F49">
        <v>6</v>
      </c>
      <c r="G49" t="s">
        <v>25</v>
      </c>
      <c r="H49">
        <v>23</v>
      </c>
      <c r="I49">
        <v>55</v>
      </c>
      <c r="J49">
        <v>6</v>
      </c>
      <c r="K49">
        <v>9</v>
      </c>
      <c r="L49" t="s">
        <v>51</v>
      </c>
      <c r="M49">
        <v>252</v>
      </c>
      <c r="N49">
        <v>815</v>
      </c>
      <c r="O49">
        <v>252</v>
      </c>
      <c r="P49">
        <v>6</v>
      </c>
      <c r="Q49">
        <v>1</v>
      </c>
      <c r="R49">
        <v>1.6201509999999999</v>
      </c>
      <c r="S49" t="s">
        <v>28</v>
      </c>
      <c r="T49">
        <v>1.8305700000000001E-4</v>
      </c>
      <c r="U49">
        <v>1.5623690000000001E-3</v>
      </c>
      <c r="V49">
        <v>14</v>
      </c>
      <c r="W49">
        <v>18</v>
      </c>
      <c r="X49">
        <v>29</v>
      </c>
      <c r="Y49">
        <v>6</v>
      </c>
    </row>
    <row r="50" spans="1:30" s="2" customFormat="1" x14ac:dyDescent="0.25">
      <c r="A50" s="2">
        <v>3.51236399999999E-2</v>
      </c>
      <c r="B50" s="2">
        <v>4.2711182622686996</v>
      </c>
      <c r="C50" s="2">
        <v>20.931034088134702</v>
      </c>
      <c r="D50" s="2">
        <v>5915</v>
      </c>
      <c r="E50" s="2">
        <v>33</v>
      </c>
      <c r="F50" s="2">
        <v>23</v>
      </c>
      <c r="G50" s="2" t="s">
        <v>25</v>
      </c>
      <c r="H50" s="2">
        <v>24</v>
      </c>
      <c r="I50" s="2">
        <v>248</v>
      </c>
      <c r="J50" s="2">
        <v>23</v>
      </c>
      <c r="K50" s="2">
        <v>27</v>
      </c>
      <c r="L50" s="2" t="s">
        <v>52</v>
      </c>
      <c r="M50" s="2">
        <v>3651</v>
      </c>
      <c r="N50" s="2">
        <v>5309</v>
      </c>
      <c r="O50" s="2">
        <v>3651</v>
      </c>
      <c r="P50" s="2">
        <v>23</v>
      </c>
      <c r="Q50" s="2">
        <v>1</v>
      </c>
      <c r="R50" s="2">
        <v>70.545635000000004</v>
      </c>
      <c r="S50" s="2" t="s">
        <v>27</v>
      </c>
      <c r="T50" s="2">
        <v>3.5256554000000002E-2</v>
      </c>
      <c r="U50" s="2">
        <v>7.0379330000000004E-2</v>
      </c>
      <c r="V50" s="2">
        <v>29</v>
      </c>
      <c r="W50" s="2">
        <v>118</v>
      </c>
      <c r="X50" s="2">
        <v>105</v>
      </c>
      <c r="Y50" s="2">
        <v>23</v>
      </c>
      <c r="AC50" s="2">
        <f>U50/U51</f>
        <v>1.223027431125983</v>
      </c>
      <c r="AD50" s="2">
        <f t="shared" ref="AD50" si="19">I50-I51</f>
        <v>46</v>
      </c>
    </row>
    <row r="51" spans="1:30" x14ac:dyDescent="0.25">
      <c r="A51">
        <v>2.6487714999999998E-2</v>
      </c>
      <c r="B51">
        <v>4.3853580048270304</v>
      </c>
      <c r="C51">
        <v>20.931034088134702</v>
      </c>
      <c r="D51">
        <v>5915</v>
      </c>
      <c r="E51">
        <v>33</v>
      </c>
      <c r="F51">
        <v>23</v>
      </c>
      <c r="G51" t="s">
        <v>25</v>
      </c>
      <c r="H51">
        <v>24</v>
      </c>
      <c r="I51">
        <v>202</v>
      </c>
      <c r="J51">
        <v>23</v>
      </c>
      <c r="K51">
        <v>34</v>
      </c>
      <c r="L51" t="s">
        <v>52</v>
      </c>
      <c r="M51">
        <v>3158</v>
      </c>
      <c r="N51">
        <v>5451</v>
      </c>
      <c r="O51">
        <v>3158</v>
      </c>
      <c r="P51">
        <v>23</v>
      </c>
      <c r="Q51">
        <v>1</v>
      </c>
      <c r="R51">
        <v>57.786462999999998</v>
      </c>
      <c r="S51" t="s">
        <v>28</v>
      </c>
      <c r="T51">
        <v>3.1057980999999998E-2</v>
      </c>
      <c r="U51">
        <v>5.7545177000000003E-2</v>
      </c>
      <c r="V51">
        <v>29</v>
      </c>
      <c r="W51">
        <v>93</v>
      </c>
      <c r="X51">
        <v>84</v>
      </c>
      <c r="Y51">
        <v>23</v>
      </c>
    </row>
    <row r="52" spans="1:30" x14ac:dyDescent="0.25">
      <c r="A52">
        <v>1.23206079999999E-2</v>
      </c>
      <c r="B52">
        <v>3.9066666666666601</v>
      </c>
      <c r="C52">
        <v>19</v>
      </c>
      <c r="D52">
        <v>3735</v>
      </c>
      <c r="E52">
        <v>33</v>
      </c>
      <c r="F52">
        <v>33</v>
      </c>
      <c r="G52" t="s">
        <v>25</v>
      </c>
      <c r="H52">
        <v>25</v>
      </c>
      <c r="I52">
        <v>165</v>
      </c>
      <c r="J52">
        <v>33</v>
      </c>
      <c r="K52">
        <v>22</v>
      </c>
      <c r="L52" t="s">
        <v>53</v>
      </c>
      <c r="M52">
        <v>2528</v>
      </c>
      <c r="N52">
        <v>3809</v>
      </c>
      <c r="O52">
        <v>2528</v>
      </c>
      <c r="P52">
        <v>33</v>
      </c>
      <c r="Q52">
        <v>1</v>
      </c>
      <c r="R52">
        <v>20.868857999999999</v>
      </c>
      <c r="S52" t="s">
        <v>27</v>
      </c>
      <c r="T52">
        <v>8.4135170000000006E-3</v>
      </c>
      <c r="U52">
        <v>2.0733565999999998E-2</v>
      </c>
      <c r="V52">
        <v>25</v>
      </c>
      <c r="W52">
        <v>78</v>
      </c>
      <c r="X52">
        <v>52</v>
      </c>
      <c r="Y52">
        <v>33</v>
      </c>
      <c r="AC52">
        <f>U52/U53</f>
        <v>0.60286506760537317</v>
      </c>
      <c r="AD52">
        <f t="shared" ref="AD52" si="20">I52-I53</f>
        <v>-30</v>
      </c>
    </row>
    <row r="53" spans="1:30" x14ac:dyDescent="0.25">
      <c r="A53">
        <v>2.1892217999999901E-2</v>
      </c>
      <c r="B53">
        <v>3.9712820512820501</v>
      </c>
      <c r="C53">
        <v>19</v>
      </c>
      <c r="D53">
        <v>3735</v>
      </c>
      <c r="E53">
        <v>33</v>
      </c>
      <c r="F53">
        <v>33</v>
      </c>
      <c r="G53" t="s">
        <v>25</v>
      </c>
      <c r="H53">
        <v>25</v>
      </c>
      <c r="I53">
        <v>195</v>
      </c>
      <c r="J53">
        <v>33</v>
      </c>
      <c r="K53">
        <v>23</v>
      </c>
      <c r="L53" t="s">
        <v>53</v>
      </c>
      <c r="M53">
        <v>2240</v>
      </c>
      <c r="N53">
        <v>3872</v>
      </c>
      <c r="O53">
        <v>2240</v>
      </c>
      <c r="P53">
        <v>33</v>
      </c>
      <c r="Q53">
        <v>2</v>
      </c>
      <c r="R53">
        <v>34.563009999999998</v>
      </c>
      <c r="S53" t="s">
        <v>28</v>
      </c>
      <c r="T53">
        <v>1.2500048E-2</v>
      </c>
      <c r="U53">
        <v>3.4391719000000001E-2</v>
      </c>
      <c r="V53">
        <v>25</v>
      </c>
      <c r="W53">
        <v>70</v>
      </c>
      <c r="X53">
        <v>89</v>
      </c>
      <c r="Y53">
        <v>33</v>
      </c>
    </row>
    <row r="54" spans="1:30" x14ac:dyDescent="0.25">
      <c r="A54">
        <v>1.4682453999999999E-2</v>
      </c>
      <c r="B54">
        <v>4.1010928961748601</v>
      </c>
      <c r="C54">
        <v>22.375</v>
      </c>
      <c r="D54">
        <v>2061</v>
      </c>
      <c r="E54">
        <v>33</v>
      </c>
      <c r="F54">
        <v>15</v>
      </c>
      <c r="G54" t="s">
        <v>25</v>
      </c>
      <c r="H54">
        <v>26</v>
      </c>
      <c r="I54">
        <v>221</v>
      </c>
      <c r="J54">
        <v>15</v>
      </c>
      <c r="K54">
        <v>16</v>
      </c>
      <c r="L54" t="s">
        <v>54</v>
      </c>
      <c r="M54">
        <v>2067</v>
      </c>
      <c r="N54">
        <v>3002</v>
      </c>
      <c r="O54">
        <v>2067</v>
      </c>
      <c r="P54">
        <v>15</v>
      </c>
      <c r="Q54">
        <v>3</v>
      </c>
      <c r="R54">
        <v>23.057639000000002</v>
      </c>
      <c r="S54" t="s">
        <v>27</v>
      </c>
      <c r="T54">
        <v>8.2670739999999993E-3</v>
      </c>
      <c r="U54">
        <v>2.2949034E-2</v>
      </c>
      <c r="V54">
        <v>16</v>
      </c>
      <c r="W54">
        <v>65</v>
      </c>
      <c r="X54">
        <v>137</v>
      </c>
      <c r="Y54">
        <v>15</v>
      </c>
      <c r="AC54">
        <f>U54/U55</f>
        <v>0.69775115218918538</v>
      </c>
      <c r="AD54">
        <f t="shared" ref="AD54" si="21">I54-I55</f>
        <v>-35</v>
      </c>
    </row>
    <row r="55" spans="1:30" x14ac:dyDescent="0.25">
      <c r="A55">
        <v>1.9366959E-2</v>
      </c>
      <c r="B55">
        <v>4.2540983606557301</v>
      </c>
      <c r="C55">
        <v>22.375</v>
      </c>
      <c r="D55">
        <v>2061</v>
      </c>
      <c r="E55">
        <v>33</v>
      </c>
      <c r="F55">
        <v>15</v>
      </c>
      <c r="G55" t="s">
        <v>25</v>
      </c>
      <c r="H55">
        <v>26</v>
      </c>
      <c r="I55">
        <v>256</v>
      </c>
      <c r="J55">
        <v>15</v>
      </c>
      <c r="K55">
        <v>16</v>
      </c>
      <c r="L55" t="s">
        <v>54</v>
      </c>
      <c r="M55">
        <v>1915</v>
      </c>
      <c r="N55">
        <v>3114</v>
      </c>
      <c r="O55">
        <v>1915</v>
      </c>
      <c r="P55">
        <v>15</v>
      </c>
      <c r="Q55">
        <v>2</v>
      </c>
      <c r="R55">
        <v>33.028883</v>
      </c>
      <c r="S55" t="s">
        <v>28</v>
      </c>
      <c r="T55">
        <v>1.3523782E-2</v>
      </c>
      <c r="U55">
        <v>3.2889997999999997E-2</v>
      </c>
      <c r="V55">
        <v>16</v>
      </c>
      <c r="W55">
        <v>58</v>
      </c>
      <c r="X55">
        <v>180</v>
      </c>
      <c r="Y55">
        <v>15</v>
      </c>
    </row>
    <row r="56" spans="1:30" x14ac:dyDescent="0.25">
      <c r="A56">
        <v>4.7486149999999899E-3</v>
      </c>
      <c r="B56">
        <v>2.6576086956521698</v>
      </c>
      <c r="C56">
        <v>19.214284896850501</v>
      </c>
      <c r="D56">
        <v>1175</v>
      </c>
      <c r="E56">
        <v>33</v>
      </c>
      <c r="F56">
        <v>15</v>
      </c>
      <c r="G56" t="s">
        <v>25</v>
      </c>
      <c r="H56">
        <v>27</v>
      </c>
      <c r="I56">
        <v>110</v>
      </c>
      <c r="J56">
        <v>15</v>
      </c>
      <c r="K56">
        <v>12</v>
      </c>
      <c r="L56" t="s">
        <v>55</v>
      </c>
      <c r="M56">
        <v>838</v>
      </c>
      <c r="N56">
        <v>1467</v>
      </c>
      <c r="O56">
        <v>838</v>
      </c>
      <c r="P56">
        <v>15</v>
      </c>
      <c r="Q56">
        <v>2</v>
      </c>
      <c r="R56">
        <v>6.2313140000000002</v>
      </c>
      <c r="S56" t="s">
        <v>27</v>
      </c>
      <c r="T56">
        <v>1.4441110000000001E-3</v>
      </c>
      <c r="U56">
        <v>6.1919260000000004E-3</v>
      </c>
      <c r="V56">
        <v>14</v>
      </c>
      <c r="W56">
        <v>27</v>
      </c>
      <c r="X56">
        <v>65</v>
      </c>
      <c r="Y56">
        <v>15</v>
      </c>
      <c r="AC56">
        <f>U56/U57</f>
        <v>1.1990605697426076</v>
      </c>
      <c r="AD56">
        <f t="shared" ref="AD56" si="22">I56-I57</f>
        <v>16</v>
      </c>
    </row>
    <row r="57" spans="1:30" x14ac:dyDescent="0.25">
      <c r="A57">
        <v>3.9792439999999998E-3</v>
      </c>
      <c r="B57">
        <v>2.64673913043478</v>
      </c>
      <c r="C57">
        <v>19.214284896850501</v>
      </c>
      <c r="D57">
        <v>1175</v>
      </c>
      <c r="E57">
        <v>33</v>
      </c>
      <c r="F57">
        <v>15</v>
      </c>
      <c r="G57" t="s">
        <v>25</v>
      </c>
      <c r="H57">
        <v>27</v>
      </c>
      <c r="I57">
        <v>94</v>
      </c>
      <c r="J57">
        <v>15</v>
      </c>
      <c r="K57">
        <v>9</v>
      </c>
      <c r="L57" t="s">
        <v>55</v>
      </c>
      <c r="M57">
        <v>733</v>
      </c>
      <c r="N57">
        <v>1461</v>
      </c>
      <c r="O57">
        <v>733</v>
      </c>
      <c r="P57">
        <v>15</v>
      </c>
      <c r="Q57">
        <v>1</v>
      </c>
      <c r="R57">
        <v>5.2302359999999997</v>
      </c>
      <c r="S57" t="s">
        <v>28</v>
      </c>
      <c r="T57">
        <v>1.185633E-3</v>
      </c>
      <c r="U57">
        <v>5.1639809999999998E-3</v>
      </c>
      <c r="V57">
        <v>14</v>
      </c>
      <c r="W57">
        <v>24</v>
      </c>
      <c r="X57">
        <v>53</v>
      </c>
      <c r="Y57">
        <v>15</v>
      </c>
    </row>
    <row r="58" spans="1:30" x14ac:dyDescent="0.25">
      <c r="A58">
        <v>2.9983840000000002E-3</v>
      </c>
      <c r="B58">
        <v>2.1540084388185599</v>
      </c>
      <c r="C58">
        <v>19.25</v>
      </c>
      <c r="D58">
        <v>876</v>
      </c>
      <c r="E58">
        <v>33</v>
      </c>
      <c r="F58">
        <v>12</v>
      </c>
      <c r="G58" t="s">
        <v>25</v>
      </c>
      <c r="H58">
        <v>28</v>
      </c>
      <c r="I58">
        <v>99</v>
      </c>
      <c r="J58">
        <v>12</v>
      </c>
      <c r="K58">
        <v>10</v>
      </c>
      <c r="L58" t="s">
        <v>56</v>
      </c>
      <c r="M58">
        <v>501</v>
      </c>
      <c r="N58">
        <v>1021</v>
      </c>
      <c r="O58">
        <v>501</v>
      </c>
      <c r="P58">
        <v>12</v>
      </c>
      <c r="Q58">
        <v>1</v>
      </c>
      <c r="R58">
        <v>3.7190319999999999</v>
      </c>
      <c r="S58" t="s">
        <v>27</v>
      </c>
      <c r="T58">
        <v>7.0154199999999999E-4</v>
      </c>
      <c r="U58">
        <v>3.6993680000000002E-3</v>
      </c>
      <c r="V58">
        <v>12</v>
      </c>
      <c r="W58">
        <v>19</v>
      </c>
      <c r="X58">
        <v>66</v>
      </c>
      <c r="Y58">
        <v>12</v>
      </c>
      <c r="AC58">
        <f>U58/U59</f>
        <v>0.99727535567701642</v>
      </c>
      <c r="AD58">
        <f t="shared" ref="AD58" si="23">I58-I59</f>
        <v>13</v>
      </c>
    </row>
    <row r="59" spans="1:30" x14ac:dyDescent="0.25">
      <c r="A59">
        <v>3.0367240000000002E-3</v>
      </c>
      <c r="B59">
        <v>2.2130801687763699</v>
      </c>
      <c r="C59">
        <v>19.25</v>
      </c>
      <c r="D59">
        <v>876</v>
      </c>
      <c r="E59">
        <v>33</v>
      </c>
      <c r="F59">
        <v>12</v>
      </c>
      <c r="G59" t="s">
        <v>25</v>
      </c>
      <c r="H59">
        <v>28</v>
      </c>
      <c r="I59">
        <v>86</v>
      </c>
      <c r="J59">
        <v>12</v>
      </c>
      <c r="K59">
        <v>10</v>
      </c>
      <c r="L59" t="s">
        <v>56</v>
      </c>
      <c r="M59">
        <v>451</v>
      </c>
      <c r="N59">
        <v>1049</v>
      </c>
      <c r="O59">
        <v>451</v>
      </c>
      <c r="P59">
        <v>12</v>
      </c>
      <c r="Q59">
        <v>1</v>
      </c>
      <c r="R59">
        <v>3.7728519999999999</v>
      </c>
      <c r="S59" t="s">
        <v>28</v>
      </c>
      <c r="T59">
        <v>6.7320399999999995E-4</v>
      </c>
      <c r="U59">
        <v>3.7094749999999998E-3</v>
      </c>
      <c r="V59">
        <v>12</v>
      </c>
      <c r="W59">
        <v>18</v>
      </c>
      <c r="X59">
        <v>54</v>
      </c>
      <c r="Y59">
        <v>12</v>
      </c>
    </row>
    <row r="60" spans="1:30" x14ac:dyDescent="0.25">
      <c r="A60">
        <v>1.824834E-3</v>
      </c>
      <c r="B60">
        <v>1.9803921568627401</v>
      </c>
      <c r="C60">
        <v>18.625</v>
      </c>
      <c r="D60">
        <v>307</v>
      </c>
      <c r="E60">
        <v>33</v>
      </c>
      <c r="F60">
        <v>8</v>
      </c>
      <c r="G60" t="s">
        <v>25</v>
      </c>
      <c r="H60">
        <v>29</v>
      </c>
      <c r="I60">
        <v>83</v>
      </c>
      <c r="J60">
        <v>8</v>
      </c>
      <c r="K60">
        <v>7</v>
      </c>
      <c r="L60" t="s">
        <v>57</v>
      </c>
      <c r="M60">
        <v>260</v>
      </c>
      <c r="N60">
        <v>606</v>
      </c>
      <c r="O60">
        <v>260</v>
      </c>
      <c r="P60">
        <v>8</v>
      </c>
      <c r="Q60">
        <v>1</v>
      </c>
      <c r="R60">
        <v>2.2809349999999999</v>
      </c>
      <c r="S60" t="s">
        <v>27</v>
      </c>
      <c r="T60">
        <v>4.2660899999999999E-4</v>
      </c>
      <c r="U60">
        <v>2.2508580000000001E-3</v>
      </c>
      <c r="V60">
        <v>8</v>
      </c>
      <c r="W60">
        <v>17</v>
      </c>
      <c r="X60">
        <v>56</v>
      </c>
      <c r="Y60">
        <v>8</v>
      </c>
      <c r="AC60">
        <f>U60/U61</f>
        <v>1.1568995602887548</v>
      </c>
      <c r="AD60">
        <f t="shared" ref="AD60" si="24">I60-I61</f>
        <v>14</v>
      </c>
    </row>
    <row r="61" spans="1:30" x14ac:dyDescent="0.25">
      <c r="A61">
        <v>1.5927339999999999E-3</v>
      </c>
      <c r="B61">
        <v>2.2483660130718901</v>
      </c>
      <c r="C61">
        <v>18.625</v>
      </c>
      <c r="D61">
        <v>307</v>
      </c>
      <c r="E61">
        <v>33</v>
      </c>
      <c r="F61">
        <v>8</v>
      </c>
      <c r="G61" t="s">
        <v>25</v>
      </c>
      <c r="H61">
        <v>29</v>
      </c>
      <c r="I61">
        <v>69</v>
      </c>
      <c r="J61">
        <v>8</v>
      </c>
      <c r="K61">
        <v>8</v>
      </c>
      <c r="L61" t="s">
        <v>57</v>
      </c>
      <c r="M61">
        <v>289</v>
      </c>
      <c r="N61">
        <v>688</v>
      </c>
      <c r="O61">
        <v>289</v>
      </c>
      <c r="P61">
        <v>8</v>
      </c>
      <c r="Q61">
        <v>1</v>
      </c>
      <c r="R61">
        <v>1.9909749999999999</v>
      </c>
      <c r="S61" t="s">
        <v>28</v>
      </c>
      <c r="T61">
        <v>3.5345599999999999E-4</v>
      </c>
      <c r="U61">
        <v>1.9455950000000001E-3</v>
      </c>
      <c r="V61">
        <v>8</v>
      </c>
      <c r="W61">
        <v>16</v>
      </c>
      <c r="X61">
        <v>43</v>
      </c>
      <c r="Y61">
        <v>8</v>
      </c>
    </row>
    <row r="62" spans="1:30" x14ac:dyDescent="0.25">
      <c r="A62">
        <v>1.337099E-3</v>
      </c>
      <c r="B62">
        <v>2.1190476190476102</v>
      </c>
      <c r="C62">
        <v>12.625</v>
      </c>
      <c r="D62">
        <v>126</v>
      </c>
      <c r="E62">
        <v>33</v>
      </c>
      <c r="F62">
        <v>8</v>
      </c>
      <c r="G62" t="s">
        <v>25</v>
      </c>
      <c r="H62">
        <v>30</v>
      </c>
      <c r="I62">
        <v>71</v>
      </c>
      <c r="J62">
        <v>8</v>
      </c>
      <c r="K62">
        <v>5</v>
      </c>
      <c r="L62" t="s">
        <v>58</v>
      </c>
      <c r="M62">
        <v>219</v>
      </c>
      <c r="N62">
        <v>445</v>
      </c>
      <c r="O62">
        <v>219</v>
      </c>
      <c r="P62">
        <v>8</v>
      </c>
      <c r="Q62">
        <v>1</v>
      </c>
      <c r="R62">
        <v>1.62523</v>
      </c>
      <c r="S62" t="s">
        <v>27</v>
      </c>
      <c r="T62">
        <v>2.6566200000000001E-4</v>
      </c>
      <c r="U62">
        <v>1.602254E-3</v>
      </c>
      <c r="V62">
        <v>8</v>
      </c>
      <c r="W62">
        <v>5</v>
      </c>
      <c r="X62">
        <v>56</v>
      </c>
      <c r="Y62">
        <v>8</v>
      </c>
      <c r="AC62">
        <f>U62/U63</f>
        <v>1.1329531023286203</v>
      </c>
      <c r="AD62">
        <f t="shared" ref="AD62" si="25">I62-I63</f>
        <v>14</v>
      </c>
    </row>
    <row r="63" spans="1:30" x14ac:dyDescent="0.25">
      <c r="A63">
        <v>1.1951399999999999E-3</v>
      </c>
      <c r="B63">
        <v>2.1047619047618999</v>
      </c>
      <c r="C63">
        <v>12.625</v>
      </c>
      <c r="D63">
        <v>126</v>
      </c>
      <c r="E63">
        <v>33</v>
      </c>
      <c r="F63">
        <v>8</v>
      </c>
      <c r="G63" t="s">
        <v>25</v>
      </c>
      <c r="H63">
        <v>30</v>
      </c>
      <c r="I63">
        <v>57</v>
      </c>
      <c r="J63">
        <v>8</v>
      </c>
      <c r="K63">
        <v>6</v>
      </c>
      <c r="L63" t="s">
        <v>58</v>
      </c>
      <c r="M63">
        <v>189</v>
      </c>
      <c r="N63">
        <v>442</v>
      </c>
      <c r="O63">
        <v>189</v>
      </c>
      <c r="P63">
        <v>8</v>
      </c>
      <c r="Q63">
        <v>1</v>
      </c>
      <c r="R63">
        <v>1.4500310000000001</v>
      </c>
      <c r="S63" t="s">
        <v>28</v>
      </c>
      <c r="T63">
        <v>2.1954900000000001E-4</v>
      </c>
      <c r="U63">
        <v>1.414228E-3</v>
      </c>
      <c r="V63">
        <v>8</v>
      </c>
      <c r="W63">
        <v>5</v>
      </c>
      <c r="X63">
        <v>42</v>
      </c>
      <c r="Y63">
        <v>8</v>
      </c>
    </row>
    <row r="64" spans="1:30" x14ac:dyDescent="0.25">
      <c r="A64">
        <v>3.2362683000000003E-2</v>
      </c>
      <c r="B64">
        <v>8.6267029972751992</v>
      </c>
      <c r="C64">
        <v>19.888889312744102</v>
      </c>
      <c r="D64">
        <v>4862</v>
      </c>
      <c r="E64">
        <v>33</v>
      </c>
      <c r="F64">
        <v>34</v>
      </c>
      <c r="G64" t="s">
        <v>25</v>
      </c>
      <c r="H64">
        <v>31</v>
      </c>
      <c r="I64">
        <v>190</v>
      </c>
      <c r="J64">
        <v>34</v>
      </c>
      <c r="K64">
        <v>49</v>
      </c>
      <c r="L64" t="s">
        <v>59</v>
      </c>
      <c r="M64">
        <v>7123</v>
      </c>
      <c r="N64">
        <v>9498</v>
      </c>
      <c r="O64">
        <v>7123</v>
      </c>
      <c r="P64">
        <v>34</v>
      </c>
      <c r="Q64">
        <v>1</v>
      </c>
      <c r="R64">
        <v>102.568088</v>
      </c>
      <c r="S64" t="s">
        <v>27</v>
      </c>
      <c r="T64">
        <v>6.9902464999999997E-2</v>
      </c>
      <c r="U64">
        <v>0.102264547</v>
      </c>
      <c r="V64">
        <v>27</v>
      </c>
      <c r="W64">
        <v>129</v>
      </c>
      <c r="X64">
        <v>25</v>
      </c>
      <c r="Y64">
        <v>34</v>
      </c>
      <c r="AC64">
        <f>U64/U65</f>
        <v>1.2488081623239704</v>
      </c>
      <c r="AD64">
        <f t="shared" ref="AD64" si="26">I64-I65</f>
        <v>13</v>
      </c>
    </row>
    <row r="65" spans="1:30" x14ac:dyDescent="0.25">
      <c r="A65">
        <v>3.06774779999999E-2</v>
      </c>
      <c r="B65">
        <v>10.570390554041699</v>
      </c>
      <c r="C65">
        <v>19.888889312744102</v>
      </c>
      <c r="D65">
        <v>4862</v>
      </c>
      <c r="E65">
        <v>33</v>
      </c>
      <c r="F65">
        <v>34</v>
      </c>
      <c r="G65" t="s">
        <v>25</v>
      </c>
      <c r="H65">
        <v>31</v>
      </c>
      <c r="I65">
        <v>177</v>
      </c>
      <c r="J65">
        <v>34</v>
      </c>
      <c r="K65">
        <v>56</v>
      </c>
      <c r="L65" t="s">
        <v>59</v>
      </c>
      <c r="M65">
        <v>6838</v>
      </c>
      <c r="N65">
        <v>11638</v>
      </c>
      <c r="O65">
        <v>6838</v>
      </c>
      <c r="P65">
        <v>34</v>
      </c>
      <c r="Q65">
        <v>1</v>
      </c>
      <c r="R65">
        <v>82.264436000000003</v>
      </c>
      <c r="S65" t="s">
        <v>28</v>
      </c>
      <c r="T65">
        <v>5.1212907000000002E-2</v>
      </c>
      <c r="U65">
        <v>8.1889717000000001E-2</v>
      </c>
      <c r="V65">
        <v>27</v>
      </c>
      <c r="W65">
        <v>114</v>
      </c>
      <c r="X65">
        <v>27</v>
      </c>
      <c r="Y65">
        <v>34</v>
      </c>
    </row>
    <row r="66" spans="1:30" x14ac:dyDescent="0.25">
      <c r="A66">
        <v>9.21663E-3</v>
      </c>
      <c r="B66">
        <v>3.2457420924574198</v>
      </c>
      <c r="C66">
        <v>20.049999237060501</v>
      </c>
      <c r="D66">
        <v>2616</v>
      </c>
      <c r="E66">
        <v>33</v>
      </c>
      <c r="F66">
        <v>25</v>
      </c>
      <c r="G66" t="s">
        <v>25</v>
      </c>
      <c r="H66">
        <v>32</v>
      </c>
      <c r="I66">
        <v>142</v>
      </c>
      <c r="J66">
        <v>25</v>
      </c>
      <c r="K66">
        <v>15</v>
      </c>
      <c r="L66" t="s">
        <v>60</v>
      </c>
      <c r="M66">
        <v>1653</v>
      </c>
      <c r="N66">
        <v>2668</v>
      </c>
      <c r="O66">
        <v>1653</v>
      </c>
      <c r="P66">
        <v>25</v>
      </c>
      <c r="Q66">
        <v>1</v>
      </c>
      <c r="R66">
        <v>13.474936</v>
      </c>
      <c r="S66" t="s">
        <v>27</v>
      </c>
      <c r="T66">
        <v>4.1620370000000004E-3</v>
      </c>
      <c r="U66">
        <v>1.3378034E-2</v>
      </c>
      <c r="V66">
        <v>20</v>
      </c>
      <c r="W66">
        <v>57</v>
      </c>
      <c r="X66">
        <v>58</v>
      </c>
      <c r="Y66">
        <v>25</v>
      </c>
      <c r="AC66">
        <f>U66/U67</f>
        <v>1.2198422178495163</v>
      </c>
      <c r="AD66">
        <f t="shared" ref="AD66" si="27">I66-I67</f>
        <v>22</v>
      </c>
    </row>
    <row r="67" spans="1:30" x14ac:dyDescent="0.25">
      <c r="A67">
        <v>7.0215719999999898E-3</v>
      </c>
      <c r="B67">
        <v>3.70559610705596</v>
      </c>
      <c r="C67">
        <v>20.049999237060501</v>
      </c>
      <c r="D67">
        <v>2616</v>
      </c>
      <c r="E67">
        <v>33</v>
      </c>
      <c r="F67">
        <v>25</v>
      </c>
      <c r="G67" t="s">
        <v>25</v>
      </c>
      <c r="H67">
        <v>32</v>
      </c>
      <c r="I67">
        <v>120</v>
      </c>
      <c r="J67">
        <v>25</v>
      </c>
      <c r="K67">
        <v>17</v>
      </c>
      <c r="L67" t="s">
        <v>60</v>
      </c>
      <c r="M67">
        <v>1679</v>
      </c>
      <c r="N67">
        <v>3046</v>
      </c>
      <c r="O67">
        <v>1679</v>
      </c>
      <c r="P67">
        <v>25</v>
      </c>
      <c r="Q67">
        <v>1</v>
      </c>
      <c r="R67">
        <v>11.087126</v>
      </c>
      <c r="S67" t="s">
        <v>28</v>
      </c>
      <c r="T67">
        <v>3.9459650000000001E-3</v>
      </c>
      <c r="U67">
        <v>1.0967019999999999E-2</v>
      </c>
      <c r="V67">
        <v>20</v>
      </c>
      <c r="W67">
        <v>62</v>
      </c>
      <c r="X67">
        <v>31</v>
      </c>
      <c r="Y67">
        <v>25</v>
      </c>
    </row>
    <row r="68" spans="1:30" x14ac:dyDescent="0.25">
      <c r="A68">
        <v>3.002237E-3</v>
      </c>
      <c r="B68">
        <v>2.2850393700787399</v>
      </c>
      <c r="C68">
        <v>18.176469802856399</v>
      </c>
      <c r="D68">
        <v>1632</v>
      </c>
      <c r="E68">
        <v>33</v>
      </c>
      <c r="F68">
        <v>17</v>
      </c>
      <c r="G68" t="s">
        <v>25</v>
      </c>
      <c r="H68">
        <v>33</v>
      </c>
      <c r="I68">
        <v>79</v>
      </c>
      <c r="J68">
        <v>17</v>
      </c>
      <c r="K68">
        <v>13</v>
      </c>
      <c r="L68" t="s">
        <v>61</v>
      </c>
      <c r="M68">
        <v>718</v>
      </c>
      <c r="N68">
        <v>1451</v>
      </c>
      <c r="O68">
        <v>718</v>
      </c>
      <c r="P68">
        <v>17</v>
      </c>
      <c r="Q68">
        <v>1</v>
      </c>
      <c r="R68">
        <v>3.8501979999999998</v>
      </c>
      <c r="S68" t="s">
        <v>27</v>
      </c>
      <c r="T68">
        <v>8.0716999999999996E-4</v>
      </c>
      <c r="U68">
        <v>3.8086750000000001E-3</v>
      </c>
      <c r="V68">
        <v>17</v>
      </c>
      <c r="W68">
        <v>33</v>
      </c>
      <c r="X68">
        <v>27</v>
      </c>
      <c r="Y68">
        <v>17</v>
      </c>
      <c r="AC68">
        <f>U68/U69</f>
        <v>0.54273586728583834</v>
      </c>
      <c r="AD68">
        <f t="shared" ref="AD68" si="28">I68-I69</f>
        <v>-29</v>
      </c>
    </row>
    <row r="69" spans="1:30" x14ac:dyDescent="0.25">
      <c r="A69">
        <v>5.2125189999999997E-3</v>
      </c>
      <c r="B69">
        <v>2.8</v>
      </c>
      <c r="C69">
        <v>18.176469802856399</v>
      </c>
      <c r="D69">
        <v>1632</v>
      </c>
      <c r="E69">
        <v>33</v>
      </c>
      <c r="F69">
        <v>17</v>
      </c>
      <c r="G69" t="s">
        <v>25</v>
      </c>
      <c r="H69">
        <v>33</v>
      </c>
      <c r="I69">
        <v>108</v>
      </c>
      <c r="J69">
        <v>17</v>
      </c>
      <c r="K69">
        <v>22</v>
      </c>
      <c r="L69" t="s">
        <v>61</v>
      </c>
      <c r="M69">
        <v>834</v>
      </c>
      <c r="N69">
        <v>1778</v>
      </c>
      <c r="O69">
        <v>834</v>
      </c>
      <c r="P69">
        <v>17</v>
      </c>
      <c r="Q69">
        <v>1</v>
      </c>
      <c r="R69">
        <v>7.1055279999999996</v>
      </c>
      <c r="S69" t="s">
        <v>28</v>
      </c>
      <c r="T69">
        <v>1.805601E-3</v>
      </c>
      <c r="U69">
        <v>7.0175480000000002E-3</v>
      </c>
      <c r="V69">
        <v>17</v>
      </c>
      <c r="W69">
        <v>48</v>
      </c>
      <c r="X69">
        <v>41</v>
      </c>
      <c r="Y69">
        <v>17</v>
      </c>
    </row>
    <row r="70" spans="1:30" x14ac:dyDescent="0.25">
      <c r="A70">
        <v>3.1195731000000001E-2</v>
      </c>
      <c r="B70">
        <v>8.2736236647493797</v>
      </c>
      <c r="C70">
        <v>20.482759475708001</v>
      </c>
      <c r="D70">
        <v>6144</v>
      </c>
      <c r="E70">
        <v>33</v>
      </c>
      <c r="F70">
        <v>33</v>
      </c>
      <c r="G70" t="s">
        <v>25</v>
      </c>
      <c r="H70">
        <v>34</v>
      </c>
      <c r="I70">
        <v>197</v>
      </c>
      <c r="J70">
        <v>33</v>
      </c>
      <c r="K70">
        <v>73</v>
      </c>
      <c r="L70" t="s">
        <v>62</v>
      </c>
      <c r="M70">
        <v>7529</v>
      </c>
      <c r="N70">
        <v>10069</v>
      </c>
      <c r="O70">
        <v>7529</v>
      </c>
      <c r="P70">
        <v>33</v>
      </c>
      <c r="Q70">
        <v>1</v>
      </c>
      <c r="R70">
        <v>117.803563</v>
      </c>
      <c r="S70" t="s">
        <v>27</v>
      </c>
      <c r="T70">
        <v>8.6286250999999994E-2</v>
      </c>
      <c r="U70">
        <v>0.117481347</v>
      </c>
      <c r="V70">
        <v>29</v>
      </c>
      <c r="W70">
        <v>134</v>
      </c>
      <c r="X70">
        <v>28</v>
      </c>
      <c r="Y70">
        <v>33</v>
      </c>
      <c r="AC70">
        <f>U70/U71</f>
        <v>0.70543212536372302</v>
      </c>
      <c r="AD70">
        <f t="shared" ref="AD70" si="29">I70-I71</f>
        <v>-33</v>
      </c>
    </row>
    <row r="71" spans="1:30" x14ac:dyDescent="0.25">
      <c r="A71">
        <v>4.3765730000000003E-2</v>
      </c>
      <c r="B71">
        <v>10.4864420706655</v>
      </c>
      <c r="C71">
        <v>20.482759475708001</v>
      </c>
      <c r="D71">
        <v>6144</v>
      </c>
      <c r="E71">
        <v>33</v>
      </c>
      <c r="F71">
        <v>33</v>
      </c>
      <c r="G71" t="s">
        <v>25</v>
      </c>
      <c r="H71">
        <v>34</v>
      </c>
      <c r="I71">
        <v>230</v>
      </c>
      <c r="J71">
        <v>33</v>
      </c>
      <c r="K71">
        <v>93</v>
      </c>
      <c r="L71" t="s">
        <v>62</v>
      </c>
      <c r="M71">
        <v>7410</v>
      </c>
      <c r="N71">
        <v>12762</v>
      </c>
      <c r="O71">
        <v>7410</v>
      </c>
      <c r="P71">
        <v>33</v>
      </c>
      <c r="Q71">
        <v>4</v>
      </c>
      <c r="R71">
        <v>167.043069</v>
      </c>
      <c r="S71" t="s">
        <v>28</v>
      </c>
      <c r="T71">
        <v>0.12277294399999999</v>
      </c>
      <c r="U71">
        <v>0.16653813000000001</v>
      </c>
      <c r="V71">
        <v>29</v>
      </c>
      <c r="W71">
        <v>123</v>
      </c>
      <c r="X71">
        <v>69</v>
      </c>
      <c r="Y71">
        <v>33</v>
      </c>
    </row>
    <row r="72" spans="1:30" x14ac:dyDescent="0.25">
      <c r="A72">
        <v>4.58375779999999E-2</v>
      </c>
      <c r="B72">
        <v>10.6913183279742</v>
      </c>
      <c r="C72">
        <v>21.714284896850501</v>
      </c>
      <c r="D72">
        <v>6393</v>
      </c>
      <c r="E72">
        <v>33</v>
      </c>
      <c r="F72">
        <v>36</v>
      </c>
      <c r="G72" t="s">
        <v>25</v>
      </c>
      <c r="H72">
        <v>35</v>
      </c>
      <c r="I72">
        <v>238</v>
      </c>
      <c r="J72">
        <v>36</v>
      </c>
      <c r="K72">
        <v>89</v>
      </c>
      <c r="L72" t="s">
        <v>63</v>
      </c>
      <c r="M72">
        <v>10218</v>
      </c>
      <c r="N72">
        <v>13300</v>
      </c>
      <c r="O72">
        <v>10218</v>
      </c>
      <c r="P72">
        <v>36</v>
      </c>
      <c r="Q72">
        <v>2</v>
      </c>
      <c r="R72">
        <v>155.29297399999999</v>
      </c>
      <c r="S72" t="s">
        <v>27</v>
      </c>
      <c r="T72">
        <v>0.109031401</v>
      </c>
      <c r="U72">
        <v>0.15486841800000001</v>
      </c>
      <c r="V72">
        <v>28</v>
      </c>
      <c r="W72">
        <v>181</v>
      </c>
      <c r="X72">
        <v>18</v>
      </c>
      <c r="Y72">
        <v>36</v>
      </c>
      <c r="AC72">
        <f>U72/U73</f>
        <v>1.4483393754837472</v>
      </c>
      <c r="AD72">
        <f t="shared" ref="AD72" si="30">I72-I73</f>
        <v>72</v>
      </c>
    </row>
    <row r="73" spans="1:30" x14ac:dyDescent="0.25">
      <c r="A73">
        <v>3.11763919999999E-2</v>
      </c>
      <c r="B73">
        <v>11.9469453376205</v>
      </c>
      <c r="C73">
        <v>21.714284896850501</v>
      </c>
      <c r="D73">
        <v>6393</v>
      </c>
      <c r="E73">
        <v>33</v>
      </c>
      <c r="F73">
        <v>36</v>
      </c>
      <c r="G73" t="s">
        <v>25</v>
      </c>
      <c r="H73">
        <v>35</v>
      </c>
      <c r="I73">
        <v>166</v>
      </c>
      <c r="J73">
        <v>36</v>
      </c>
      <c r="K73">
        <v>114</v>
      </c>
      <c r="L73" t="s">
        <v>63</v>
      </c>
      <c r="M73">
        <v>8626</v>
      </c>
      <c r="N73">
        <v>14862</v>
      </c>
      <c r="O73">
        <v>8626</v>
      </c>
      <c r="P73">
        <v>36</v>
      </c>
      <c r="Q73">
        <v>1</v>
      </c>
      <c r="R73">
        <v>107.404476</v>
      </c>
      <c r="S73" t="s">
        <v>28</v>
      </c>
      <c r="T73">
        <v>7.5752313000000002E-2</v>
      </c>
      <c r="U73">
        <v>0.10692826599999999</v>
      </c>
      <c r="V73">
        <v>28</v>
      </c>
      <c r="W73">
        <v>106</v>
      </c>
      <c r="X73">
        <v>22</v>
      </c>
      <c r="Y73">
        <v>36</v>
      </c>
    </row>
    <row r="74" spans="1:30" x14ac:dyDescent="0.25">
      <c r="A74">
        <v>5.0104549999999996E-3</v>
      </c>
      <c r="B74">
        <v>2.5186915887850398</v>
      </c>
      <c r="C74">
        <v>17.3333339691162</v>
      </c>
      <c r="D74">
        <v>2022</v>
      </c>
      <c r="E74">
        <v>25</v>
      </c>
      <c r="F74">
        <v>13</v>
      </c>
      <c r="G74" t="s">
        <v>25</v>
      </c>
      <c r="H74">
        <v>36</v>
      </c>
      <c r="I74">
        <v>108</v>
      </c>
      <c r="J74">
        <v>13</v>
      </c>
      <c r="K74">
        <v>8</v>
      </c>
      <c r="L74" t="s">
        <v>64</v>
      </c>
      <c r="M74">
        <v>898</v>
      </c>
      <c r="N74">
        <v>1617</v>
      </c>
      <c r="O74">
        <v>898</v>
      </c>
      <c r="P74">
        <v>13</v>
      </c>
      <c r="Q74">
        <v>1</v>
      </c>
      <c r="R74">
        <v>6.762391</v>
      </c>
      <c r="S74" t="s">
        <v>27</v>
      </c>
      <c r="T74">
        <v>1.6913360000000001E-3</v>
      </c>
      <c r="U74">
        <v>6.7012360000000002E-3</v>
      </c>
      <c r="V74">
        <v>18</v>
      </c>
      <c r="W74">
        <v>25</v>
      </c>
      <c r="X74">
        <v>68</v>
      </c>
      <c r="Y74">
        <v>13</v>
      </c>
      <c r="AC74">
        <f>U74/U75</f>
        <v>1.1784645258794955</v>
      </c>
      <c r="AD74">
        <f t="shared" ref="AD74" si="31">I74-I75</f>
        <v>6</v>
      </c>
    </row>
    <row r="75" spans="1:30" x14ac:dyDescent="0.25">
      <c r="A75">
        <v>4.2697819999999997E-3</v>
      </c>
      <c r="B75">
        <v>2.33021806853582</v>
      </c>
      <c r="C75">
        <v>17.3333339691162</v>
      </c>
      <c r="D75">
        <v>2022</v>
      </c>
      <c r="E75">
        <v>25</v>
      </c>
      <c r="F75">
        <v>13</v>
      </c>
      <c r="G75" t="s">
        <v>25</v>
      </c>
      <c r="H75">
        <v>36</v>
      </c>
      <c r="I75">
        <v>102</v>
      </c>
      <c r="J75">
        <v>13</v>
      </c>
      <c r="K75">
        <v>7</v>
      </c>
      <c r="L75" t="s">
        <v>64</v>
      </c>
      <c r="M75">
        <v>690</v>
      </c>
      <c r="N75">
        <v>1496</v>
      </c>
      <c r="O75">
        <v>690</v>
      </c>
      <c r="P75">
        <v>13</v>
      </c>
      <c r="Q75">
        <v>1</v>
      </c>
      <c r="R75">
        <v>5.8118080000000001</v>
      </c>
      <c r="S75" t="s">
        <v>28</v>
      </c>
      <c r="T75">
        <v>1.4171240000000001E-3</v>
      </c>
      <c r="U75">
        <v>5.6864130000000004E-3</v>
      </c>
      <c r="V75">
        <v>18</v>
      </c>
      <c r="W75">
        <v>20</v>
      </c>
      <c r="X75">
        <v>67</v>
      </c>
      <c r="Y75">
        <v>13</v>
      </c>
    </row>
    <row r="76" spans="1:30" x14ac:dyDescent="0.25">
      <c r="A76">
        <v>1.3238669999999901E-3</v>
      </c>
      <c r="B76">
        <v>1.81045751633986</v>
      </c>
      <c r="C76">
        <v>14.800000190734799</v>
      </c>
      <c r="D76">
        <v>87</v>
      </c>
      <c r="E76">
        <v>25</v>
      </c>
      <c r="F76">
        <v>5</v>
      </c>
      <c r="G76" t="s">
        <v>25</v>
      </c>
      <c r="H76">
        <v>37</v>
      </c>
      <c r="I76">
        <v>58</v>
      </c>
      <c r="J76">
        <v>5</v>
      </c>
      <c r="K76">
        <v>4</v>
      </c>
      <c r="L76" t="s">
        <v>65</v>
      </c>
      <c r="M76">
        <v>109</v>
      </c>
      <c r="N76">
        <v>277</v>
      </c>
      <c r="O76">
        <v>109</v>
      </c>
      <c r="P76">
        <v>5</v>
      </c>
      <c r="Q76">
        <v>2</v>
      </c>
      <c r="R76">
        <v>1.651932</v>
      </c>
      <c r="S76" t="s">
        <v>27</v>
      </c>
      <c r="T76">
        <v>3.0346099999999999E-4</v>
      </c>
      <c r="U76">
        <v>1.6268319999999999E-3</v>
      </c>
      <c r="V76">
        <v>5</v>
      </c>
      <c r="W76">
        <v>3</v>
      </c>
      <c r="X76">
        <v>47</v>
      </c>
      <c r="Y76">
        <v>5</v>
      </c>
      <c r="AC76">
        <f>U76/U77</f>
        <v>0.91792548857637457</v>
      </c>
      <c r="AD76">
        <f t="shared" ref="AD76" si="32">I76-I77</f>
        <v>3</v>
      </c>
    </row>
    <row r="77" spans="1:30" x14ac:dyDescent="0.25">
      <c r="A77">
        <v>1.4615990000000001E-3</v>
      </c>
      <c r="B77">
        <v>1.84313725490196</v>
      </c>
      <c r="C77">
        <v>14.800000190734799</v>
      </c>
      <c r="D77">
        <v>87</v>
      </c>
      <c r="E77">
        <v>25</v>
      </c>
      <c r="F77">
        <v>5</v>
      </c>
      <c r="G77" t="s">
        <v>25</v>
      </c>
      <c r="H77">
        <v>37</v>
      </c>
      <c r="I77">
        <v>55</v>
      </c>
      <c r="J77">
        <v>5</v>
      </c>
      <c r="K77">
        <v>4</v>
      </c>
      <c r="L77" t="s">
        <v>65</v>
      </c>
      <c r="M77">
        <v>93</v>
      </c>
      <c r="N77">
        <v>282</v>
      </c>
      <c r="O77">
        <v>93</v>
      </c>
      <c r="P77">
        <v>5</v>
      </c>
      <c r="Q77">
        <v>2</v>
      </c>
      <c r="R77">
        <v>1.8100959999999999</v>
      </c>
      <c r="S77" t="s">
        <v>28</v>
      </c>
      <c r="T77">
        <v>3.1114700000000001E-4</v>
      </c>
      <c r="U77">
        <v>1.772292E-3</v>
      </c>
      <c r="V77">
        <v>5</v>
      </c>
      <c r="W77">
        <v>3</v>
      </c>
      <c r="X77">
        <v>44</v>
      </c>
      <c r="Y77">
        <v>5</v>
      </c>
    </row>
    <row r="78" spans="1:30" x14ac:dyDescent="0.25">
      <c r="A78">
        <v>1.673573E-3</v>
      </c>
      <c r="B78">
        <v>2.87283236994219</v>
      </c>
      <c r="C78">
        <v>16.799999237060501</v>
      </c>
      <c r="D78">
        <v>136</v>
      </c>
      <c r="E78">
        <v>20</v>
      </c>
      <c r="F78">
        <v>4</v>
      </c>
      <c r="G78" t="s">
        <v>25</v>
      </c>
      <c r="H78">
        <v>38</v>
      </c>
      <c r="I78">
        <v>75</v>
      </c>
      <c r="J78">
        <v>4</v>
      </c>
      <c r="K78">
        <v>10</v>
      </c>
      <c r="L78" t="s">
        <v>66</v>
      </c>
      <c r="M78">
        <v>286</v>
      </c>
      <c r="N78">
        <v>497</v>
      </c>
      <c r="O78">
        <v>286</v>
      </c>
      <c r="P78">
        <v>4</v>
      </c>
      <c r="Q78">
        <v>1</v>
      </c>
      <c r="R78">
        <v>2.033938</v>
      </c>
      <c r="S78" t="s">
        <v>27</v>
      </c>
      <c r="T78">
        <v>3.3941800000000002E-4</v>
      </c>
      <c r="U78">
        <v>2.0125270000000001E-3</v>
      </c>
      <c r="V78">
        <v>5</v>
      </c>
      <c r="W78">
        <v>18</v>
      </c>
      <c r="X78">
        <v>51</v>
      </c>
      <c r="Y78">
        <v>4</v>
      </c>
      <c r="AC78">
        <f>U78/U79</f>
        <v>1.2771243290031205</v>
      </c>
      <c r="AD78">
        <f t="shared" ref="AD78" si="33">I78-I79</f>
        <v>12</v>
      </c>
    </row>
    <row r="79" spans="1:30" x14ac:dyDescent="0.25">
      <c r="A79">
        <v>1.31394699999999E-3</v>
      </c>
      <c r="B79">
        <v>2.6416184971098202</v>
      </c>
      <c r="C79">
        <v>16.799999237060501</v>
      </c>
      <c r="D79">
        <v>136</v>
      </c>
      <c r="E79">
        <v>20</v>
      </c>
      <c r="F79">
        <v>4</v>
      </c>
      <c r="G79" t="s">
        <v>25</v>
      </c>
      <c r="H79">
        <v>38</v>
      </c>
      <c r="I79">
        <v>63</v>
      </c>
      <c r="J79">
        <v>4</v>
      </c>
      <c r="K79">
        <v>7</v>
      </c>
      <c r="L79" t="s">
        <v>66</v>
      </c>
      <c r="M79">
        <v>218</v>
      </c>
      <c r="N79">
        <v>457</v>
      </c>
      <c r="O79">
        <v>218</v>
      </c>
      <c r="P79">
        <v>4</v>
      </c>
      <c r="Q79">
        <v>1</v>
      </c>
      <c r="R79">
        <v>1.6140810000000001</v>
      </c>
      <c r="S79" t="s">
        <v>28</v>
      </c>
      <c r="T79">
        <v>2.6232700000000002E-4</v>
      </c>
      <c r="U79">
        <v>1.5758269999999999E-3</v>
      </c>
      <c r="V79">
        <v>5</v>
      </c>
      <c r="W79">
        <v>10</v>
      </c>
      <c r="X79">
        <v>47</v>
      </c>
      <c r="Y79">
        <v>4</v>
      </c>
    </row>
    <row r="80" spans="1:30" x14ac:dyDescent="0.25">
      <c r="A80">
        <v>5.1861729999999901E-3</v>
      </c>
      <c r="B80">
        <v>3.28267477203647</v>
      </c>
      <c r="C80">
        <v>15.949999809265099</v>
      </c>
      <c r="D80">
        <v>2246</v>
      </c>
      <c r="E80">
        <v>25</v>
      </c>
      <c r="F80">
        <v>19</v>
      </c>
      <c r="G80" t="s">
        <v>25</v>
      </c>
      <c r="H80">
        <v>39</v>
      </c>
      <c r="I80">
        <v>102</v>
      </c>
      <c r="J80">
        <v>19</v>
      </c>
      <c r="K80">
        <v>13</v>
      </c>
      <c r="L80" t="s">
        <v>67</v>
      </c>
      <c r="M80">
        <v>1322</v>
      </c>
      <c r="N80">
        <v>2160</v>
      </c>
      <c r="O80">
        <v>1322</v>
      </c>
      <c r="P80">
        <v>19</v>
      </c>
      <c r="Q80">
        <v>1</v>
      </c>
      <c r="R80">
        <v>8.6600479999999997</v>
      </c>
      <c r="S80" t="s">
        <v>27</v>
      </c>
      <c r="T80">
        <v>3.39558E-3</v>
      </c>
      <c r="U80">
        <v>8.5811440000000006E-3</v>
      </c>
      <c r="V80">
        <v>20</v>
      </c>
      <c r="W80">
        <v>52</v>
      </c>
      <c r="X80">
        <v>29</v>
      </c>
      <c r="Y80">
        <v>19</v>
      </c>
      <c r="AC80">
        <f>U80/U81</f>
        <v>0.79885085078375628</v>
      </c>
      <c r="AD80">
        <f t="shared" ref="AD80" si="34">I80-I81</f>
        <v>-7</v>
      </c>
    </row>
    <row r="81" spans="1:30" x14ac:dyDescent="0.25">
      <c r="A81">
        <v>6.11335E-3</v>
      </c>
      <c r="B81">
        <v>3.93161094224924</v>
      </c>
      <c r="C81">
        <v>15.949999809265099</v>
      </c>
      <c r="D81">
        <v>2246</v>
      </c>
      <c r="E81">
        <v>25</v>
      </c>
      <c r="F81">
        <v>19</v>
      </c>
      <c r="G81" t="s">
        <v>25</v>
      </c>
      <c r="H81">
        <v>39</v>
      </c>
      <c r="I81">
        <v>109</v>
      </c>
      <c r="J81">
        <v>19</v>
      </c>
      <c r="K81">
        <v>27</v>
      </c>
      <c r="L81" t="s">
        <v>67</v>
      </c>
      <c r="M81">
        <v>1376</v>
      </c>
      <c r="N81">
        <v>2587</v>
      </c>
      <c r="O81">
        <v>1376</v>
      </c>
      <c r="P81">
        <v>19</v>
      </c>
      <c r="Q81">
        <v>1</v>
      </c>
      <c r="R81">
        <v>10.838464999999999</v>
      </c>
      <c r="S81" t="s">
        <v>28</v>
      </c>
      <c r="T81">
        <v>4.629088E-3</v>
      </c>
      <c r="U81">
        <v>1.0741860000000001E-2</v>
      </c>
      <c r="V81">
        <v>20</v>
      </c>
      <c r="W81">
        <v>61</v>
      </c>
      <c r="X81">
        <v>27</v>
      </c>
      <c r="Y81">
        <v>19</v>
      </c>
    </row>
    <row r="82" spans="1:30" x14ac:dyDescent="0.25">
      <c r="A82">
        <v>2.1655720000000002E-3</v>
      </c>
      <c r="B82">
        <v>3.8196721311475401</v>
      </c>
      <c r="C82">
        <v>17.799999237060501</v>
      </c>
      <c r="D82">
        <v>136</v>
      </c>
      <c r="E82">
        <v>25</v>
      </c>
      <c r="F82">
        <v>7</v>
      </c>
      <c r="G82" t="s">
        <v>25</v>
      </c>
      <c r="H82">
        <v>40</v>
      </c>
      <c r="I82">
        <v>91</v>
      </c>
      <c r="J82">
        <v>7</v>
      </c>
      <c r="K82">
        <v>10</v>
      </c>
      <c r="L82" t="s">
        <v>68</v>
      </c>
      <c r="M82">
        <v>463</v>
      </c>
      <c r="N82">
        <v>699</v>
      </c>
      <c r="O82">
        <v>463</v>
      </c>
      <c r="P82">
        <v>7</v>
      </c>
      <c r="Q82">
        <v>1</v>
      </c>
      <c r="R82">
        <v>2.8756159999999999</v>
      </c>
      <c r="S82" t="s">
        <v>27</v>
      </c>
      <c r="T82">
        <v>6.8416600000000005E-4</v>
      </c>
      <c r="U82">
        <v>2.8491800000000002E-3</v>
      </c>
      <c r="V82">
        <v>5</v>
      </c>
      <c r="W82">
        <v>26</v>
      </c>
      <c r="X82">
        <v>56</v>
      </c>
      <c r="Y82">
        <v>7</v>
      </c>
      <c r="AC82">
        <f>U82/U83</f>
        <v>0.84751243004151033</v>
      </c>
      <c r="AD82">
        <f t="shared" ref="AD82" si="35">I82-I83</f>
        <v>0</v>
      </c>
    </row>
    <row r="83" spans="1:30" x14ac:dyDescent="0.25">
      <c r="A83">
        <v>2.40296E-3</v>
      </c>
      <c r="B83">
        <v>4.4480874316939802</v>
      </c>
      <c r="C83">
        <v>17.799999237060501</v>
      </c>
      <c r="D83">
        <v>136</v>
      </c>
      <c r="E83">
        <v>25</v>
      </c>
      <c r="F83">
        <v>7</v>
      </c>
      <c r="G83" t="s">
        <v>25</v>
      </c>
      <c r="H83">
        <v>40</v>
      </c>
      <c r="I83">
        <v>91</v>
      </c>
      <c r="J83">
        <v>7</v>
      </c>
      <c r="K83">
        <v>15</v>
      </c>
      <c r="L83" t="s">
        <v>68</v>
      </c>
      <c r="M83">
        <v>498</v>
      </c>
      <c r="N83">
        <v>814</v>
      </c>
      <c r="O83">
        <v>498</v>
      </c>
      <c r="P83">
        <v>7</v>
      </c>
      <c r="Q83">
        <v>1</v>
      </c>
      <c r="R83">
        <v>3.4047130000000001</v>
      </c>
      <c r="S83" t="s">
        <v>28</v>
      </c>
      <c r="T83">
        <v>9.5929800000000003E-4</v>
      </c>
      <c r="U83">
        <v>3.3618150000000002E-3</v>
      </c>
      <c r="V83">
        <v>5</v>
      </c>
      <c r="W83">
        <v>26</v>
      </c>
      <c r="X83">
        <v>56</v>
      </c>
      <c r="Y83">
        <v>7</v>
      </c>
    </row>
    <row r="84" spans="1:30" x14ac:dyDescent="0.25">
      <c r="A84">
        <v>8.5156899999999896E-4</v>
      </c>
      <c r="B84">
        <v>1.7070063694267501</v>
      </c>
      <c r="C84">
        <v>15.199999809265099</v>
      </c>
      <c r="D84">
        <v>93</v>
      </c>
      <c r="E84">
        <v>25</v>
      </c>
      <c r="F84">
        <v>2</v>
      </c>
      <c r="G84" t="s">
        <v>25</v>
      </c>
      <c r="H84">
        <v>41</v>
      </c>
      <c r="I84">
        <v>51</v>
      </c>
      <c r="J84">
        <v>2</v>
      </c>
      <c r="K84">
        <v>4</v>
      </c>
      <c r="L84" t="s">
        <v>69</v>
      </c>
      <c r="M84">
        <v>105</v>
      </c>
      <c r="N84">
        <v>268</v>
      </c>
      <c r="O84">
        <v>105</v>
      </c>
      <c r="P84">
        <v>2</v>
      </c>
      <c r="Q84">
        <v>1</v>
      </c>
      <c r="R84">
        <v>0.97309299999999999</v>
      </c>
      <c r="S84" t="s">
        <v>27</v>
      </c>
      <c r="T84">
        <v>1.1056300000000001E-4</v>
      </c>
      <c r="U84">
        <v>9.6168899999999995E-4</v>
      </c>
      <c r="V84">
        <v>5</v>
      </c>
      <c r="W84">
        <v>1</v>
      </c>
      <c r="X84">
        <v>46</v>
      </c>
      <c r="Y84">
        <v>2</v>
      </c>
      <c r="AC84">
        <f>U84/U85</f>
        <v>1.2783708660506701</v>
      </c>
      <c r="AD84">
        <f t="shared" ref="AD84" si="36">I84-I85</f>
        <v>10</v>
      </c>
    </row>
    <row r="85" spans="1:30" x14ac:dyDescent="0.25">
      <c r="A85">
        <v>6.8028199999999896E-4</v>
      </c>
      <c r="B85">
        <v>1.7070063694267501</v>
      </c>
      <c r="C85">
        <v>15.199999809265099</v>
      </c>
      <c r="D85">
        <v>93</v>
      </c>
      <c r="E85">
        <v>25</v>
      </c>
      <c r="F85">
        <v>2</v>
      </c>
      <c r="G85" t="s">
        <v>25</v>
      </c>
      <c r="H85">
        <v>41</v>
      </c>
      <c r="I85">
        <v>41</v>
      </c>
      <c r="J85">
        <v>2</v>
      </c>
      <c r="K85">
        <v>4</v>
      </c>
      <c r="L85" t="s">
        <v>69</v>
      </c>
      <c r="M85">
        <v>95</v>
      </c>
      <c r="N85">
        <v>268</v>
      </c>
      <c r="O85">
        <v>95</v>
      </c>
      <c r="P85">
        <v>2</v>
      </c>
      <c r="Q85">
        <v>1</v>
      </c>
      <c r="R85">
        <v>0.780555</v>
      </c>
      <c r="S85" t="s">
        <v>28</v>
      </c>
      <c r="T85" s="1">
        <v>7.2471000000000005E-5</v>
      </c>
      <c r="U85">
        <v>7.5227699999999998E-4</v>
      </c>
      <c r="V85">
        <v>5</v>
      </c>
      <c r="W85">
        <v>1</v>
      </c>
      <c r="X85">
        <v>36</v>
      </c>
      <c r="Y85">
        <v>2</v>
      </c>
    </row>
    <row r="86" spans="1:30" x14ac:dyDescent="0.25">
      <c r="A86">
        <v>9.4492169999999993E-3</v>
      </c>
      <c r="B86">
        <v>3.00396825396825</v>
      </c>
      <c r="C86">
        <v>15.25</v>
      </c>
      <c r="D86">
        <v>2865</v>
      </c>
      <c r="E86">
        <v>25</v>
      </c>
      <c r="F86">
        <v>27</v>
      </c>
      <c r="G86" t="s">
        <v>25</v>
      </c>
      <c r="H86">
        <v>42</v>
      </c>
      <c r="I86">
        <v>117</v>
      </c>
      <c r="J86">
        <v>27</v>
      </c>
      <c r="K86">
        <v>14</v>
      </c>
      <c r="L86" t="s">
        <v>70</v>
      </c>
      <c r="M86">
        <v>1332</v>
      </c>
      <c r="N86">
        <v>2271</v>
      </c>
      <c r="O86">
        <v>1332</v>
      </c>
      <c r="P86">
        <v>27</v>
      </c>
      <c r="Q86">
        <v>1</v>
      </c>
      <c r="R86">
        <v>16.460021999999999</v>
      </c>
      <c r="S86" t="s">
        <v>27</v>
      </c>
      <c r="T86">
        <v>6.9269989999999997E-3</v>
      </c>
      <c r="U86">
        <v>1.6375662999999999E-2</v>
      </c>
      <c r="V86">
        <v>24</v>
      </c>
      <c r="W86">
        <v>53</v>
      </c>
      <c r="X86">
        <v>35</v>
      </c>
      <c r="Y86">
        <v>27</v>
      </c>
      <c r="AC86">
        <f>U86/U87</f>
        <v>1.6024536559808782</v>
      </c>
      <c r="AD86">
        <f t="shared" ref="AD86" si="37">I86-I87</f>
        <v>5</v>
      </c>
    </row>
    <row r="87" spans="1:30" x14ac:dyDescent="0.25">
      <c r="A87">
        <v>5.9990319999999996E-3</v>
      </c>
      <c r="B87">
        <v>3.2314814814814801</v>
      </c>
      <c r="C87">
        <v>15.25</v>
      </c>
      <c r="D87">
        <v>2865</v>
      </c>
      <c r="E87">
        <v>25</v>
      </c>
      <c r="F87">
        <v>27</v>
      </c>
      <c r="G87" t="s">
        <v>25</v>
      </c>
      <c r="H87">
        <v>42</v>
      </c>
      <c r="I87">
        <v>112</v>
      </c>
      <c r="J87">
        <v>27</v>
      </c>
      <c r="K87">
        <v>15</v>
      </c>
      <c r="L87" t="s">
        <v>70</v>
      </c>
      <c r="M87">
        <v>1247</v>
      </c>
      <c r="N87">
        <v>2443</v>
      </c>
      <c r="O87">
        <v>1247</v>
      </c>
      <c r="P87">
        <v>27</v>
      </c>
      <c r="Q87">
        <v>1</v>
      </c>
      <c r="R87">
        <v>10.325936</v>
      </c>
      <c r="S87" t="s">
        <v>28</v>
      </c>
      <c r="T87">
        <v>4.2205979999999999E-3</v>
      </c>
      <c r="U87">
        <v>1.0219117999999999E-2</v>
      </c>
      <c r="V87">
        <v>24</v>
      </c>
      <c r="W87">
        <v>52</v>
      </c>
      <c r="X87">
        <v>31</v>
      </c>
      <c r="Y87">
        <v>27</v>
      </c>
    </row>
    <row r="88" spans="1:30" x14ac:dyDescent="0.25">
      <c r="A88">
        <v>1.343489E-3</v>
      </c>
      <c r="B88">
        <v>2.6834532374100699</v>
      </c>
      <c r="C88">
        <v>13.399999618530201</v>
      </c>
      <c r="D88">
        <v>72</v>
      </c>
      <c r="E88">
        <v>25</v>
      </c>
      <c r="F88">
        <v>8</v>
      </c>
      <c r="G88" t="s">
        <v>25</v>
      </c>
      <c r="H88">
        <v>43</v>
      </c>
      <c r="I88">
        <v>87</v>
      </c>
      <c r="J88">
        <v>8</v>
      </c>
      <c r="K88">
        <v>7</v>
      </c>
      <c r="L88" t="s">
        <v>71</v>
      </c>
      <c r="M88">
        <v>212</v>
      </c>
      <c r="N88">
        <v>373</v>
      </c>
      <c r="O88">
        <v>212</v>
      </c>
      <c r="P88">
        <v>8</v>
      </c>
      <c r="Q88">
        <v>1</v>
      </c>
      <c r="R88">
        <v>1.640908</v>
      </c>
      <c r="S88" t="s">
        <v>27</v>
      </c>
      <c r="T88">
        <v>2.7495999999999998E-4</v>
      </c>
      <c r="U88">
        <v>1.6179250000000001E-3</v>
      </c>
      <c r="V88">
        <v>5</v>
      </c>
      <c r="W88">
        <v>9</v>
      </c>
      <c r="X88">
        <v>68</v>
      </c>
      <c r="Y88">
        <v>8</v>
      </c>
      <c r="AC88">
        <f>U88/U89</f>
        <v>1.0089814739171188</v>
      </c>
      <c r="AD88">
        <f t="shared" ref="AD88" si="38">I88-I89</f>
        <v>5</v>
      </c>
    </row>
    <row r="89" spans="1:30" x14ac:dyDescent="0.25">
      <c r="A89">
        <v>1.329518E-3</v>
      </c>
      <c r="B89">
        <v>2.7410071942446002</v>
      </c>
      <c r="C89">
        <v>13.399999618530201</v>
      </c>
      <c r="D89">
        <v>72</v>
      </c>
      <c r="E89">
        <v>25</v>
      </c>
      <c r="F89">
        <v>8</v>
      </c>
      <c r="G89" t="s">
        <v>25</v>
      </c>
      <c r="H89">
        <v>43</v>
      </c>
      <c r="I89">
        <v>82</v>
      </c>
      <c r="J89">
        <v>8</v>
      </c>
      <c r="K89">
        <v>7</v>
      </c>
      <c r="L89" t="s">
        <v>71</v>
      </c>
      <c r="M89">
        <v>198</v>
      </c>
      <c r="N89">
        <v>381</v>
      </c>
      <c r="O89">
        <v>198</v>
      </c>
      <c r="P89">
        <v>8</v>
      </c>
      <c r="Q89">
        <v>1</v>
      </c>
      <c r="R89">
        <v>1.6237900000000001</v>
      </c>
      <c r="S89" t="s">
        <v>28</v>
      </c>
      <c r="T89">
        <v>2.7444500000000001E-4</v>
      </c>
      <c r="U89">
        <v>1.6035229999999999E-3</v>
      </c>
      <c r="V89">
        <v>5</v>
      </c>
      <c r="W89">
        <v>8</v>
      </c>
      <c r="X89">
        <v>64</v>
      </c>
      <c r="Y89">
        <v>8</v>
      </c>
    </row>
    <row r="90" spans="1:30" x14ac:dyDescent="0.25">
      <c r="A90">
        <v>1.518599E-3</v>
      </c>
      <c r="B90">
        <v>3.3654822335025298</v>
      </c>
      <c r="C90">
        <v>13.571428298950099</v>
      </c>
      <c r="D90">
        <v>150</v>
      </c>
      <c r="E90">
        <v>25</v>
      </c>
      <c r="F90">
        <v>9</v>
      </c>
      <c r="G90" t="s">
        <v>25</v>
      </c>
      <c r="H90">
        <v>44</v>
      </c>
      <c r="I90">
        <v>60</v>
      </c>
      <c r="J90">
        <v>9</v>
      </c>
      <c r="K90">
        <v>9</v>
      </c>
      <c r="L90" t="s">
        <v>72</v>
      </c>
      <c r="M90">
        <v>394</v>
      </c>
      <c r="N90">
        <v>663</v>
      </c>
      <c r="O90">
        <v>394</v>
      </c>
      <c r="P90">
        <v>9</v>
      </c>
      <c r="Q90">
        <v>1</v>
      </c>
      <c r="R90">
        <v>1.9739279999999999</v>
      </c>
      <c r="S90" t="s">
        <v>27</v>
      </c>
      <c r="T90">
        <v>4.3967600000000001E-4</v>
      </c>
      <c r="U90">
        <v>1.9576889999999999E-3</v>
      </c>
      <c r="V90">
        <v>7</v>
      </c>
      <c r="W90">
        <v>31</v>
      </c>
      <c r="X90">
        <v>18</v>
      </c>
      <c r="Y90">
        <v>9</v>
      </c>
      <c r="AC90">
        <f>U90/U91</f>
        <v>0.96691757175243365</v>
      </c>
      <c r="AD90">
        <f t="shared" ref="AD90" si="39">I90-I91</f>
        <v>-4</v>
      </c>
    </row>
    <row r="91" spans="1:30" x14ac:dyDescent="0.25">
      <c r="A91">
        <v>1.50596199999999E-3</v>
      </c>
      <c r="B91">
        <v>3.81725888324873</v>
      </c>
      <c r="C91">
        <v>13.571428298950099</v>
      </c>
      <c r="D91">
        <v>150</v>
      </c>
      <c r="E91">
        <v>25</v>
      </c>
      <c r="F91">
        <v>9</v>
      </c>
      <c r="G91" t="s">
        <v>25</v>
      </c>
      <c r="H91">
        <v>44</v>
      </c>
      <c r="I91">
        <v>64</v>
      </c>
      <c r="J91">
        <v>9</v>
      </c>
      <c r="K91">
        <v>11</v>
      </c>
      <c r="L91" t="s">
        <v>72</v>
      </c>
      <c r="M91">
        <v>390</v>
      </c>
      <c r="N91">
        <v>752</v>
      </c>
      <c r="O91">
        <v>390</v>
      </c>
      <c r="P91">
        <v>9</v>
      </c>
      <c r="Q91">
        <v>1</v>
      </c>
      <c r="R91">
        <v>2.064368</v>
      </c>
      <c r="S91" t="s">
        <v>28</v>
      </c>
      <c r="T91">
        <v>5.1918400000000001E-4</v>
      </c>
      <c r="U91">
        <v>2.0246700000000001E-3</v>
      </c>
      <c r="V91">
        <v>7</v>
      </c>
      <c r="W91">
        <v>29</v>
      </c>
      <c r="X91">
        <v>24</v>
      </c>
      <c r="Y91">
        <v>9</v>
      </c>
    </row>
    <row r="92" spans="1:30" x14ac:dyDescent="0.25">
      <c r="A92">
        <v>7.99323E-4</v>
      </c>
      <c r="B92">
        <v>1.57219251336898</v>
      </c>
      <c r="C92">
        <v>12.857142448425201</v>
      </c>
      <c r="D92">
        <v>126</v>
      </c>
      <c r="E92">
        <v>25</v>
      </c>
      <c r="F92">
        <v>8</v>
      </c>
      <c r="G92" t="s">
        <v>25</v>
      </c>
      <c r="H92">
        <v>45</v>
      </c>
      <c r="I92">
        <v>49</v>
      </c>
      <c r="J92">
        <v>8</v>
      </c>
      <c r="K92">
        <v>4</v>
      </c>
      <c r="L92" t="s">
        <v>73</v>
      </c>
      <c r="M92">
        <v>99</v>
      </c>
      <c r="N92">
        <v>294</v>
      </c>
      <c r="O92">
        <v>99</v>
      </c>
      <c r="P92">
        <v>8</v>
      </c>
      <c r="Q92">
        <v>1</v>
      </c>
      <c r="R92">
        <v>0.88798999999999995</v>
      </c>
      <c r="S92" t="s">
        <v>27</v>
      </c>
      <c r="T92" s="1">
        <v>7.5387000000000002E-5</v>
      </c>
      <c r="U92">
        <v>8.7412799999999995E-4</v>
      </c>
      <c r="V92">
        <v>7</v>
      </c>
      <c r="W92">
        <v>2</v>
      </c>
      <c r="X92">
        <v>37</v>
      </c>
      <c r="Y92">
        <v>8</v>
      </c>
      <c r="AC92">
        <f>U92/U93</f>
        <v>1.0512120239121727</v>
      </c>
      <c r="AD92">
        <f t="shared" ref="AD92" si="40">I92-I93</f>
        <v>2</v>
      </c>
    </row>
    <row r="93" spans="1:30" x14ac:dyDescent="0.25">
      <c r="A93">
        <v>7.5740099999999999E-4</v>
      </c>
      <c r="B93">
        <v>1.59358288770053</v>
      </c>
      <c r="C93">
        <v>12.857142448425201</v>
      </c>
      <c r="D93">
        <v>126</v>
      </c>
      <c r="E93">
        <v>25</v>
      </c>
      <c r="F93">
        <v>8</v>
      </c>
      <c r="G93" t="s">
        <v>25</v>
      </c>
      <c r="H93">
        <v>45</v>
      </c>
      <c r="I93">
        <v>47</v>
      </c>
      <c r="J93">
        <v>8</v>
      </c>
      <c r="K93">
        <v>4</v>
      </c>
      <c r="L93" t="s">
        <v>73</v>
      </c>
      <c r="M93">
        <v>91</v>
      </c>
      <c r="N93">
        <v>298</v>
      </c>
      <c r="O93">
        <v>91</v>
      </c>
      <c r="P93">
        <v>8</v>
      </c>
      <c r="Q93">
        <v>1</v>
      </c>
      <c r="R93">
        <v>0.862591</v>
      </c>
      <c r="S93" t="s">
        <v>28</v>
      </c>
      <c r="T93" s="1">
        <v>7.4564E-5</v>
      </c>
      <c r="U93">
        <v>8.3154300000000002E-4</v>
      </c>
      <c r="V93">
        <v>7</v>
      </c>
      <c r="W93">
        <v>2</v>
      </c>
      <c r="X93">
        <v>35</v>
      </c>
      <c r="Y93">
        <v>8</v>
      </c>
    </row>
    <row r="94" spans="1:30" x14ac:dyDescent="0.25">
      <c r="A94">
        <v>9.5661389999999995E-3</v>
      </c>
      <c r="B94">
        <v>3.47421383647798</v>
      </c>
      <c r="C94">
        <v>15.399999618530201</v>
      </c>
      <c r="D94">
        <v>3202</v>
      </c>
      <c r="E94">
        <v>25</v>
      </c>
      <c r="F94">
        <v>31</v>
      </c>
      <c r="G94" t="s">
        <v>25</v>
      </c>
      <c r="H94">
        <v>46</v>
      </c>
      <c r="I94">
        <v>154</v>
      </c>
      <c r="J94">
        <v>31</v>
      </c>
      <c r="K94">
        <v>13</v>
      </c>
      <c r="L94" t="s">
        <v>74</v>
      </c>
      <c r="M94">
        <v>1720</v>
      </c>
      <c r="N94">
        <v>2762</v>
      </c>
      <c r="O94">
        <v>1720</v>
      </c>
      <c r="P94">
        <v>31</v>
      </c>
      <c r="Q94">
        <v>1</v>
      </c>
      <c r="R94">
        <v>17.948038</v>
      </c>
      <c r="S94" t="s">
        <v>27</v>
      </c>
      <c r="T94">
        <v>8.2927150000000008E-3</v>
      </c>
      <c r="U94">
        <v>1.785834E-2</v>
      </c>
      <c r="V94">
        <v>25</v>
      </c>
      <c r="W94">
        <v>62</v>
      </c>
      <c r="X94">
        <v>59</v>
      </c>
      <c r="Y94">
        <v>31</v>
      </c>
      <c r="AC94">
        <f>U94/U95</f>
        <v>1.2092465172528322</v>
      </c>
      <c r="AD94">
        <f t="shared" ref="AD94" si="41">I94-I95</f>
        <v>26</v>
      </c>
    </row>
    <row r="95" spans="1:30" x14ac:dyDescent="0.25">
      <c r="A95">
        <v>8.4087969999999904E-3</v>
      </c>
      <c r="B95">
        <v>3.39622641509433</v>
      </c>
      <c r="C95">
        <v>15.399999618530201</v>
      </c>
      <c r="D95">
        <v>3202</v>
      </c>
      <c r="E95">
        <v>25</v>
      </c>
      <c r="F95">
        <v>31</v>
      </c>
      <c r="G95" t="s">
        <v>25</v>
      </c>
      <c r="H95">
        <v>46</v>
      </c>
      <c r="I95">
        <v>128</v>
      </c>
      <c r="J95">
        <v>31</v>
      </c>
      <c r="K95">
        <v>17</v>
      </c>
      <c r="L95" t="s">
        <v>74</v>
      </c>
      <c r="M95">
        <v>1372</v>
      </c>
      <c r="N95">
        <v>2700</v>
      </c>
      <c r="O95">
        <v>1372</v>
      </c>
      <c r="P95">
        <v>31</v>
      </c>
      <c r="Q95">
        <v>1</v>
      </c>
      <c r="R95">
        <v>14.882667</v>
      </c>
      <c r="S95" t="s">
        <v>28</v>
      </c>
      <c r="T95">
        <v>6.3600430000000001E-3</v>
      </c>
      <c r="U95">
        <v>1.4768155E-2</v>
      </c>
      <c r="V95">
        <v>25</v>
      </c>
      <c r="W95">
        <v>58</v>
      </c>
      <c r="X95">
        <v>37</v>
      </c>
      <c r="Y95">
        <v>31</v>
      </c>
    </row>
    <row r="96" spans="1:30" x14ac:dyDescent="0.25">
      <c r="A96">
        <v>2.440472E-3</v>
      </c>
      <c r="B96">
        <v>2.7692307692307598</v>
      </c>
      <c r="C96">
        <v>16.214284896850501</v>
      </c>
      <c r="D96">
        <v>970</v>
      </c>
      <c r="E96">
        <v>25</v>
      </c>
      <c r="F96">
        <v>16</v>
      </c>
      <c r="G96" t="s">
        <v>25</v>
      </c>
      <c r="H96">
        <v>47</v>
      </c>
      <c r="I96">
        <v>70</v>
      </c>
      <c r="J96">
        <v>16</v>
      </c>
      <c r="K96">
        <v>22</v>
      </c>
      <c r="L96" t="s">
        <v>75</v>
      </c>
      <c r="M96">
        <v>706</v>
      </c>
      <c r="N96">
        <v>1296</v>
      </c>
      <c r="O96">
        <v>706</v>
      </c>
      <c r="P96">
        <v>16</v>
      </c>
      <c r="Q96">
        <v>1</v>
      </c>
      <c r="R96">
        <v>3.2608540000000001</v>
      </c>
      <c r="S96" t="s">
        <v>27</v>
      </c>
      <c r="T96">
        <v>7.90509E-4</v>
      </c>
      <c r="U96">
        <v>3.2303869999999999E-3</v>
      </c>
      <c r="V96">
        <v>14</v>
      </c>
      <c r="W96">
        <v>42</v>
      </c>
      <c r="X96">
        <v>10</v>
      </c>
      <c r="Y96">
        <v>16</v>
      </c>
      <c r="AC96">
        <f>U96/U97</f>
        <v>0.67978666094283324</v>
      </c>
      <c r="AD96">
        <f t="shared" ref="AD96" si="42">I96-I97</f>
        <v>-23</v>
      </c>
    </row>
    <row r="97" spans="1:30" x14ac:dyDescent="0.25">
      <c r="A97">
        <v>3.1674119999999901E-3</v>
      </c>
      <c r="B97">
        <v>3.2286324786324698</v>
      </c>
      <c r="C97">
        <v>16.214284896850501</v>
      </c>
      <c r="D97">
        <v>970</v>
      </c>
      <c r="E97">
        <v>25</v>
      </c>
      <c r="F97">
        <v>16</v>
      </c>
      <c r="G97" t="s">
        <v>25</v>
      </c>
      <c r="H97">
        <v>47</v>
      </c>
      <c r="I97">
        <v>93</v>
      </c>
      <c r="J97">
        <v>16</v>
      </c>
      <c r="K97">
        <v>22</v>
      </c>
      <c r="L97" t="s">
        <v>75</v>
      </c>
      <c r="M97">
        <v>742</v>
      </c>
      <c r="N97">
        <v>1511</v>
      </c>
      <c r="O97">
        <v>742</v>
      </c>
      <c r="P97">
        <v>16</v>
      </c>
      <c r="Q97">
        <v>2</v>
      </c>
      <c r="R97">
        <v>4.8125280000000004</v>
      </c>
      <c r="S97" t="s">
        <v>28</v>
      </c>
      <c r="T97">
        <v>1.5850269999999999E-3</v>
      </c>
      <c r="U97">
        <v>4.7520599999999998E-3</v>
      </c>
      <c r="V97">
        <v>14</v>
      </c>
      <c r="W97">
        <v>39</v>
      </c>
      <c r="X97">
        <v>35</v>
      </c>
      <c r="Y97">
        <v>16</v>
      </c>
    </row>
    <row r="98" spans="1:30" s="2" customFormat="1" x14ac:dyDescent="0.25">
      <c r="A98" s="2">
        <v>2.2157063000000001E-2</v>
      </c>
      <c r="B98" s="2">
        <v>5.5543041029766602</v>
      </c>
      <c r="C98" s="2">
        <v>20.931034088134702</v>
      </c>
      <c r="D98" s="2">
        <v>5915</v>
      </c>
      <c r="E98" s="2">
        <v>33</v>
      </c>
      <c r="F98" s="2">
        <v>37</v>
      </c>
      <c r="G98" s="2" t="s">
        <v>25</v>
      </c>
      <c r="H98" s="2">
        <v>48</v>
      </c>
      <c r="I98" s="2">
        <v>184</v>
      </c>
      <c r="J98" s="2">
        <v>37</v>
      </c>
      <c r="K98" s="2">
        <v>30</v>
      </c>
      <c r="L98" s="2" t="s">
        <v>76</v>
      </c>
      <c r="M98" s="2">
        <v>4989</v>
      </c>
      <c r="N98" s="2">
        <v>6904</v>
      </c>
      <c r="O98" s="2">
        <v>4989</v>
      </c>
      <c r="P98" s="2">
        <v>37</v>
      </c>
      <c r="Q98" s="2">
        <v>1</v>
      </c>
      <c r="R98" s="2">
        <v>66.492323999999996</v>
      </c>
      <c r="S98" s="2" t="s">
        <v>27</v>
      </c>
      <c r="T98" s="2">
        <v>4.4109968999999999E-2</v>
      </c>
      <c r="U98" s="2">
        <v>6.6266365999999993E-2</v>
      </c>
      <c r="V98" s="2">
        <v>29</v>
      </c>
      <c r="W98" s="2">
        <v>125</v>
      </c>
      <c r="X98" s="2">
        <v>20</v>
      </c>
      <c r="Y98" s="2">
        <v>37</v>
      </c>
      <c r="AC98" s="2">
        <f>U98/U99</f>
        <v>1.0744776247667134</v>
      </c>
      <c r="AD98" s="2">
        <f t="shared" ref="AD98" si="43">I98-I99</f>
        <v>15</v>
      </c>
    </row>
    <row r="99" spans="1:30" x14ac:dyDescent="0.25">
      <c r="A99">
        <v>2.03602609999999E-2</v>
      </c>
      <c r="B99">
        <v>5.7288817377312897</v>
      </c>
      <c r="C99">
        <v>20.931034088134702</v>
      </c>
      <c r="D99">
        <v>5915</v>
      </c>
      <c r="E99">
        <v>33</v>
      </c>
      <c r="F99">
        <v>37</v>
      </c>
      <c r="G99" t="s">
        <v>25</v>
      </c>
      <c r="H99">
        <v>48</v>
      </c>
      <c r="I99">
        <v>169</v>
      </c>
      <c r="J99">
        <v>37</v>
      </c>
      <c r="K99">
        <v>24</v>
      </c>
      <c r="L99" t="s">
        <v>76</v>
      </c>
      <c r="M99">
        <v>4397</v>
      </c>
      <c r="N99">
        <v>7121</v>
      </c>
      <c r="O99">
        <v>4397</v>
      </c>
      <c r="P99">
        <v>37</v>
      </c>
      <c r="Q99">
        <v>2</v>
      </c>
      <c r="R99">
        <v>61.906461</v>
      </c>
      <c r="S99" t="s">
        <v>28</v>
      </c>
      <c r="T99">
        <v>4.1313546999999999E-2</v>
      </c>
      <c r="U99">
        <v>6.1673100000000002E-2</v>
      </c>
      <c r="V99">
        <v>29</v>
      </c>
      <c r="W99">
        <v>107</v>
      </c>
      <c r="X99">
        <v>22</v>
      </c>
      <c r="Y99">
        <v>37</v>
      </c>
    </row>
    <row r="100" spans="1:30" x14ac:dyDescent="0.25">
      <c r="A100">
        <v>1.4044986999999899E-2</v>
      </c>
      <c r="B100">
        <v>4.9979487179487103</v>
      </c>
      <c r="C100">
        <v>19</v>
      </c>
      <c r="D100">
        <v>3735</v>
      </c>
      <c r="E100">
        <v>33</v>
      </c>
      <c r="F100">
        <v>40</v>
      </c>
      <c r="G100" t="s">
        <v>25</v>
      </c>
      <c r="H100">
        <v>49</v>
      </c>
      <c r="I100">
        <v>164</v>
      </c>
      <c r="J100">
        <v>40</v>
      </c>
      <c r="K100">
        <v>19</v>
      </c>
      <c r="L100" t="s">
        <v>77</v>
      </c>
      <c r="M100">
        <v>3458</v>
      </c>
      <c r="N100">
        <v>4873</v>
      </c>
      <c r="O100">
        <v>3458</v>
      </c>
      <c r="P100">
        <v>40</v>
      </c>
      <c r="Q100">
        <v>1</v>
      </c>
      <c r="R100">
        <v>26.959958</v>
      </c>
      <c r="S100" t="s">
        <v>27</v>
      </c>
      <c r="T100">
        <v>1.2751959E-2</v>
      </c>
      <c r="U100">
        <v>2.6796417999999999E-2</v>
      </c>
      <c r="V100">
        <v>25</v>
      </c>
      <c r="W100">
        <v>93</v>
      </c>
      <c r="X100">
        <v>29</v>
      </c>
      <c r="Y100">
        <v>40</v>
      </c>
      <c r="AC100">
        <f>U100/U101</f>
        <v>0.85094802565735317</v>
      </c>
      <c r="AD100">
        <f t="shared" ref="AD100" si="44">I100-I101</f>
        <v>-3</v>
      </c>
    </row>
    <row r="101" spans="1:30" x14ac:dyDescent="0.25">
      <c r="A101">
        <v>1.5685577999999999E-2</v>
      </c>
      <c r="B101">
        <v>5.6543589743589697</v>
      </c>
      <c r="C101">
        <v>19</v>
      </c>
      <c r="D101">
        <v>3735</v>
      </c>
      <c r="E101">
        <v>33</v>
      </c>
      <c r="F101">
        <v>40</v>
      </c>
      <c r="G101" t="s">
        <v>25</v>
      </c>
      <c r="H101">
        <v>49</v>
      </c>
      <c r="I101">
        <v>167</v>
      </c>
      <c r="J101">
        <v>40</v>
      </c>
      <c r="K101">
        <v>19</v>
      </c>
      <c r="L101" t="s">
        <v>77</v>
      </c>
      <c r="M101">
        <v>3353</v>
      </c>
      <c r="N101">
        <v>5513</v>
      </c>
      <c r="O101">
        <v>3353</v>
      </c>
      <c r="P101">
        <v>40</v>
      </c>
      <c r="Q101">
        <v>2</v>
      </c>
      <c r="R101">
        <v>31.711580999999999</v>
      </c>
      <c r="S101" t="s">
        <v>28</v>
      </c>
      <c r="T101">
        <v>1.5804987999999999E-2</v>
      </c>
      <c r="U101">
        <v>3.1490075999999999E-2</v>
      </c>
      <c r="V101">
        <v>25</v>
      </c>
      <c r="W101">
        <v>95</v>
      </c>
      <c r="X101">
        <v>29</v>
      </c>
      <c r="Y101">
        <v>40</v>
      </c>
    </row>
    <row r="102" spans="1:30" x14ac:dyDescent="0.25">
      <c r="A102">
        <v>7.021757E-3</v>
      </c>
      <c r="B102">
        <v>3.42622950819672</v>
      </c>
      <c r="C102">
        <v>22.375</v>
      </c>
      <c r="D102">
        <v>2061</v>
      </c>
      <c r="E102">
        <v>33</v>
      </c>
      <c r="F102">
        <v>19</v>
      </c>
      <c r="G102" t="s">
        <v>25</v>
      </c>
      <c r="H102">
        <v>50</v>
      </c>
      <c r="I102">
        <v>124</v>
      </c>
      <c r="J102">
        <v>19</v>
      </c>
      <c r="K102">
        <v>12</v>
      </c>
      <c r="L102" t="s">
        <v>78</v>
      </c>
      <c r="M102">
        <v>1616</v>
      </c>
      <c r="N102">
        <v>2508</v>
      </c>
      <c r="O102">
        <v>1616</v>
      </c>
      <c r="P102">
        <v>19</v>
      </c>
      <c r="Q102">
        <v>1</v>
      </c>
      <c r="R102">
        <v>10.414871</v>
      </c>
      <c r="S102" t="s">
        <v>27</v>
      </c>
      <c r="T102">
        <v>3.2972409999999998E-3</v>
      </c>
      <c r="U102">
        <v>1.0318287000000001E-2</v>
      </c>
      <c r="V102">
        <v>16</v>
      </c>
      <c r="W102">
        <v>54</v>
      </c>
      <c r="X102">
        <v>49</v>
      </c>
      <c r="Y102">
        <v>19</v>
      </c>
      <c r="AC102">
        <f>U102/U103</f>
        <v>1.0219542712449499</v>
      </c>
      <c r="AD102">
        <f t="shared" ref="AD102" si="45">I102-I103</f>
        <v>12</v>
      </c>
    </row>
    <row r="103" spans="1:30" x14ac:dyDescent="0.25">
      <c r="A103">
        <v>6.3185369999999999E-3</v>
      </c>
      <c r="B103">
        <v>3.8442622950819598</v>
      </c>
      <c r="C103">
        <v>22.375</v>
      </c>
      <c r="D103">
        <v>2061</v>
      </c>
      <c r="E103">
        <v>33</v>
      </c>
      <c r="F103">
        <v>19</v>
      </c>
      <c r="G103" t="s">
        <v>25</v>
      </c>
      <c r="H103">
        <v>50</v>
      </c>
      <c r="I103">
        <v>112</v>
      </c>
      <c r="J103">
        <v>19</v>
      </c>
      <c r="K103">
        <v>16</v>
      </c>
      <c r="L103" t="s">
        <v>78</v>
      </c>
      <c r="M103">
        <v>1663</v>
      </c>
      <c r="N103">
        <v>2814</v>
      </c>
      <c r="O103">
        <v>1663</v>
      </c>
      <c r="P103">
        <v>19</v>
      </c>
      <c r="Q103">
        <v>1</v>
      </c>
      <c r="R103">
        <v>10.201668</v>
      </c>
      <c r="S103" t="s">
        <v>28</v>
      </c>
      <c r="T103">
        <v>3.7785380000000001E-3</v>
      </c>
      <c r="U103">
        <v>1.0096623000000001E-2</v>
      </c>
      <c r="V103">
        <v>16</v>
      </c>
      <c r="W103">
        <v>50</v>
      </c>
      <c r="X103">
        <v>41</v>
      </c>
      <c r="Y103">
        <v>19</v>
      </c>
    </row>
    <row r="104" spans="1:30" x14ac:dyDescent="0.25">
      <c r="A104">
        <v>4.0495840000000002E-3</v>
      </c>
      <c r="B104">
        <v>2.8695652173913002</v>
      </c>
      <c r="C104">
        <v>19.214284896850501</v>
      </c>
      <c r="D104">
        <v>1175</v>
      </c>
      <c r="E104">
        <v>33</v>
      </c>
      <c r="F104">
        <v>17</v>
      </c>
      <c r="G104" t="s">
        <v>25</v>
      </c>
      <c r="H104">
        <v>51</v>
      </c>
      <c r="I104">
        <v>109</v>
      </c>
      <c r="J104">
        <v>17</v>
      </c>
      <c r="K104">
        <v>13</v>
      </c>
      <c r="L104" t="s">
        <v>79</v>
      </c>
      <c r="M104">
        <v>947</v>
      </c>
      <c r="N104">
        <v>1584</v>
      </c>
      <c r="O104">
        <v>947</v>
      </c>
      <c r="P104">
        <v>17</v>
      </c>
      <c r="Q104">
        <v>1</v>
      </c>
      <c r="R104">
        <v>5.5760490000000003</v>
      </c>
      <c r="S104" t="s">
        <v>27</v>
      </c>
      <c r="T104">
        <v>1.4763070000000001E-3</v>
      </c>
      <c r="U104">
        <v>5.5252280000000001E-3</v>
      </c>
      <c r="V104">
        <v>14</v>
      </c>
      <c r="W104">
        <v>32</v>
      </c>
      <c r="X104">
        <v>58</v>
      </c>
      <c r="Y104">
        <v>17</v>
      </c>
      <c r="AC104">
        <f>U104/U105</f>
        <v>0.67017285015601957</v>
      </c>
      <c r="AD104">
        <f t="shared" ref="AD104" si="46">I104-I105</f>
        <v>-30</v>
      </c>
    </row>
    <row r="105" spans="1:30" x14ac:dyDescent="0.25">
      <c r="A105">
        <v>5.3021259999999903E-3</v>
      </c>
      <c r="B105">
        <v>3.4166666666666599</v>
      </c>
      <c r="C105">
        <v>19.214284896850501</v>
      </c>
      <c r="D105">
        <v>1175</v>
      </c>
      <c r="E105">
        <v>33</v>
      </c>
      <c r="F105">
        <v>17</v>
      </c>
      <c r="G105" t="s">
        <v>25</v>
      </c>
      <c r="H105">
        <v>51</v>
      </c>
      <c r="I105">
        <v>139</v>
      </c>
      <c r="J105">
        <v>17</v>
      </c>
      <c r="K105">
        <v>15</v>
      </c>
      <c r="L105" t="s">
        <v>79</v>
      </c>
      <c r="M105">
        <v>1120</v>
      </c>
      <c r="N105">
        <v>1886</v>
      </c>
      <c r="O105">
        <v>1120</v>
      </c>
      <c r="P105">
        <v>17</v>
      </c>
      <c r="Q105">
        <v>2</v>
      </c>
      <c r="R105">
        <v>8.3305419999999994</v>
      </c>
      <c r="S105" t="s">
        <v>28</v>
      </c>
      <c r="T105">
        <v>2.942886E-3</v>
      </c>
      <c r="U105">
        <v>8.2444819999999992E-3</v>
      </c>
      <c r="V105">
        <v>14</v>
      </c>
      <c r="W105">
        <v>30</v>
      </c>
      <c r="X105">
        <v>89</v>
      </c>
      <c r="Y105">
        <v>17</v>
      </c>
    </row>
    <row r="106" spans="1:30" x14ac:dyDescent="0.25">
      <c r="A106">
        <v>3.1933949999999999E-3</v>
      </c>
      <c r="B106">
        <v>2.9367088607594898</v>
      </c>
      <c r="C106">
        <v>19.25</v>
      </c>
      <c r="D106">
        <v>876</v>
      </c>
      <c r="E106">
        <v>33</v>
      </c>
      <c r="F106">
        <v>16</v>
      </c>
      <c r="G106" t="s">
        <v>25</v>
      </c>
      <c r="H106">
        <v>52</v>
      </c>
      <c r="I106">
        <v>98</v>
      </c>
      <c r="J106">
        <v>16</v>
      </c>
      <c r="K106">
        <v>14</v>
      </c>
      <c r="L106" t="s">
        <v>80</v>
      </c>
      <c r="M106">
        <v>842</v>
      </c>
      <c r="N106">
        <v>1392</v>
      </c>
      <c r="O106">
        <v>842</v>
      </c>
      <c r="P106">
        <v>16</v>
      </c>
      <c r="Q106">
        <v>1</v>
      </c>
      <c r="R106">
        <v>4.3800800000000004</v>
      </c>
      <c r="S106" t="s">
        <v>27</v>
      </c>
      <c r="T106">
        <v>1.161731E-3</v>
      </c>
      <c r="U106">
        <v>4.3545880000000004E-3</v>
      </c>
      <c r="V106">
        <v>12</v>
      </c>
      <c r="W106">
        <v>33</v>
      </c>
      <c r="X106">
        <v>47</v>
      </c>
      <c r="Y106">
        <v>16</v>
      </c>
      <c r="AC106">
        <f>U106/U107</f>
        <v>1.0102629693034282</v>
      </c>
      <c r="AD106">
        <f t="shared" ref="AD106" si="47">I106-I107</f>
        <v>2</v>
      </c>
    </row>
    <row r="107" spans="1:30" x14ac:dyDescent="0.25">
      <c r="A107">
        <v>3.0823439999999999E-3</v>
      </c>
      <c r="B107">
        <v>2.9514767932489399</v>
      </c>
      <c r="C107">
        <v>19.25</v>
      </c>
      <c r="D107">
        <v>876</v>
      </c>
      <c r="E107">
        <v>33</v>
      </c>
      <c r="F107">
        <v>16</v>
      </c>
      <c r="G107" t="s">
        <v>25</v>
      </c>
      <c r="H107">
        <v>52</v>
      </c>
      <c r="I107">
        <v>96</v>
      </c>
      <c r="J107">
        <v>16</v>
      </c>
      <c r="K107">
        <v>14</v>
      </c>
      <c r="L107" t="s">
        <v>80</v>
      </c>
      <c r="M107">
        <v>712</v>
      </c>
      <c r="N107">
        <v>1399</v>
      </c>
      <c r="O107">
        <v>712</v>
      </c>
      <c r="P107">
        <v>16</v>
      </c>
      <c r="Q107">
        <v>1</v>
      </c>
      <c r="R107">
        <v>4.3727390000000002</v>
      </c>
      <c r="S107" t="s">
        <v>28</v>
      </c>
      <c r="T107">
        <v>1.228392E-3</v>
      </c>
      <c r="U107">
        <v>4.3103509999999996E-3</v>
      </c>
      <c r="V107">
        <v>12</v>
      </c>
      <c r="W107">
        <v>30</v>
      </c>
      <c r="X107">
        <v>48</v>
      </c>
      <c r="Y107">
        <v>16</v>
      </c>
    </row>
    <row r="108" spans="1:30" x14ac:dyDescent="0.25">
      <c r="A108">
        <v>1.030864E-3</v>
      </c>
      <c r="B108">
        <v>1.6176470588235199</v>
      </c>
      <c r="C108">
        <v>18.625</v>
      </c>
      <c r="D108">
        <v>307</v>
      </c>
      <c r="E108">
        <v>33</v>
      </c>
      <c r="F108">
        <v>10</v>
      </c>
      <c r="G108" t="s">
        <v>25</v>
      </c>
      <c r="H108">
        <v>53</v>
      </c>
      <c r="I108">
        <v>51</v>
      </c>
      <c r="J108">
        <v>10</v>
      </c>
      <c r="K108">
        <v>5</v>
      </c>
      <c r="L108" t="s">
        <v>81</v>
      </c>
      <c r="M108">
        <v>176</v>
      </c>
      <c r="N108">
        <v>495</v>
      </c>
      <c r="O108">
        <v>176</v>
      </c>
      <c r="P108">
        <v>10</v>
      </c>
      <c r="Q108">
        <v>1</v>
      </c>
      <c r="R108">
        <v>1.163624</v>
      </c>
      <c r="S108" t="s">
        <v>27</v>
      </c>
      <c r="T108">
        <v>1.12477E-4</v>
      </c>
      <c r="U108">
        <v>1.1428790000000001E-3</v>
      </c>
      <c r="V108">
        <v>8</v>
      </c>
      <c r="W108">
        <v>4</v>
      </c>
      <c r="X108">
        <v>35</v>
      </c>
      <c r="Y108">
        <v>10</v>
      </c>
      <c r="AC108">
        <f>U108/U109</f>
        <v>0.86836132822442724</v>
      </c>
      <c r="AD108">
        <f t="shared" ref="AD108" si="48">I108-I109</f>
        <v>2</v>
      </c>
    </row>
    <row r="109" spans="1:30" x14ac:dyDescent="0.25">
      <c r="A109">
        <v>1.1131139999999999E-3</v>
      </c>
      <c r="B109">
        <v>1.7026143790849599</v>
      </c>
      <c r="C109">
        <v>18.625</v>
      </c>
      <c r="D109">
        <v>307</v>
      </c>
      <c r="E109">
        <v>33</v>
      </c>
      <c r="F109">
        <v>10</v>
      </c>
      <c r="G109" t="s">
        <v>25</v>
      </c>
      <c r="H109">
        <v>53</v>
      </c>
      <c r="I109">
        <v>49</v>
      </c>
      <c r="J109">
        <v>10</v>
      </c>
      <c r="K109">
        <v>5</v>
      </c>
      <c r="L109" t="s">
        <v>81</v>
      </c>
      <c r="M109">
        <v>175</v>
      </c>
      <c r="N109">
        <v>521</v>
      </c>
      <c r="O109">
        <v>175</v>
      </c>
      <c r="P109">
        <v>10</v>
      </c>
      <c r="Q109">
        <v>1</v>
      </c>
      <c r="R109">
        <v>1.357056</v>
      </c>
      <c r="S109" t="s">
        <v>28</v>
      </c>
      <c r="T109">
        <v>2.03461E-4</v>
      </c>
      <c r="U109">
        <v>1.3161329999999999E-3</v>
      </c>
      <c r="V109">
        <v>8</v>
      </c>
      <c r="W109">
        <v>6</v>
      </c>
      <c r="X109">
        <v>31</v>
      </c>
      <c r="Y109">
        <v>10</v>
      </c>
    </row>
    <row r="110" spans="1:30" x14ac:dyDescent="0.25">
      <c r="A110">
        <v>2.3157E-3</v>
      </c>
      <c r="B110">
        <v>2.6571428571428499</v>
      </c>
      <c r="C110">
        <v>12.625</v>
      </c>
      <c r="D110">
        <v>126</v>
      </c>
      <c r="E110">
        <v>33</v>
      </c>
      <c r="F110">
        <v>12</v>
      </c>
      <c r="G110" t="s">
        <v>25</v>
      </c>
      <c r="H110">
        <v>54</v>
      </c>
      <c r="I110">
        <v>107</v>
      </c>
      <c r="J110">
        <v>12</v>
      </c>
      <c r="K110">
        <v>7</v>
      </c>
      <c r="L110" t="s">
        <v>82</v>
      </c>
      <c r="M110">
        <v>329</v>
      </c>
      <c r="N110">
        <v>558</v>
      </c>
      <c r="O110">
        <v>329</v>
      </c>
      <c r="P110">
        <v>12</v>
      </c>
      <c r="Q110">
        <v>1</v>
      </c>
      <c r="R110">
        <v>2.8008519999999999</v>
      </c>
      <c r="S110" t="s">
        <v>27</v>
      </c>
      <c r="T110">
        <v>4.7125299999999998E-4</v>
      </c>
      <c r="U110">
        <v>2.7864679999999998E-3</v>
      </c>
      <c r="V110">
        <v>8</v>
      </c>
      <c r="W110">
        <v>7</v>
      </c>
      <c r="X110">
        <v>86</v>
      </c>
      <c r="Y110">
        <v>12</v>
      </c>
      <c r="AC110">
        <f>U110/U111</f>
        <v>1.1438463316244201</v>
      </c>
      <c r="AD110">
        <f t="shared" ref="AD110" si="49">I110-I111</f>
        <v>13</v>
      </c>
    </row>
    <row r="111" spans="1:30" x14ac:dyDescent="0.25">
      <c r="A111">
        <v>2.0090719999999898E-3</v>
      </c>
      <c r="B111">
        <v>2.7428571428571402</v>
      </c>
      <c r="C111">
        <v>12.625</v>
      </c>
      <c r="D111">
        <v>126</v>
      </c>
      <c r="E111">
        <v>33</v>
      </c>
      <c r="F111">
        <v>12</v>
      </c>
      <c r="G111" t="s">
        <v>25</v>
      </c>
      <c r="H111">
        <v>54</v>
      </c>
      <c r="I111">
        <v>94</v>
      </c>
      <c r="J111">
        <v>12</v>
      </c>
      <c r="K111">
        <v>6</v>
      </c>
      <c r="L111" t="s">
        <v>82</v>
      </c>
      <c r="M111">
        <v>320</v>
      </c>
      <c r="N111">
        <v>576</v>
      </c>
      <c r="O111">
        <v>320</v>
      </c>
      <c r="P111">
        <v>12</v>
      </c>
      <c r="Q111">
        <v>1</v>
      </c>
      <c r="R111">
        <v>2.4755750000000001</v>
      </c>
      <c r="S111" t="s">
        <v>28</v>
      </c>
      <c r="T111">
        <v>4.2747899999999998E-4</v>
      </c>
      <c r="U111">
        <v>2.4360509999999998E-3</v>
      </c>
      <c r="V111">
        <v>8</v>
      </c>
      <c r="W111">
        <v>6</v>
      </c>
      <c r="X111">
        <v>74</v>
      </c>
      <c r="Y111">
        <v>12</v>
      </c>
    </row>
    <row r="112" spans="1:30" x14ac:dyDescent="0.25">
      <c r="A112">
        <v>3.0214638999999901E-2</v>
      </c>
      <c r="B112">
        <v>9.1553133514986307</v>
      </c>
      <c r="C112">
        <v>19.888889312744102</v>
      </c>
      <c r="D112">
        <v>4862</v>
      </c>
      <c r="E112">
        <v>33</v>
      </c>
      <c r="F112">
        <v>43</v>
      </c>
      <c r="G112" t="s">
        <v>25</v>
      </c>
      <c r="H112">
        <v>55</v>
      </c>
      <c r="I112">
        <v>211</v>
      </c>
      <c r="J112">
        <v>43</v>
      </c>
      <c r="K112">
        <v>66</v>
      </c>
      <c r="L112" t="s">
        <v>83</v>
      </c>
      <c r="M112">
        <v>7638</v>
      </c>
      <c r="N112">
        <v>10080</v>
      </c>
      <c r="O112">
        <v>7638</v>
      </c>
      <c r="P112">
        <v>43</v>
      </c>
      <c r="Q112">
        <v>1</v>
      </c>
      <c r="R112">
        <v>82.919387</v>
      </c>
      <c r="S112" t="s">
        <v>27</v>
      </c>
      <c r="T112">
        <v>5.2379636E-2</v>
      </c>
      <c r="U112">
        <v>8.2593510999999994E-2</v>
      </c>
      <c r="V112">
        <v>27</v>
      </c>
      <c r="W112">
        <v>163</v>
      </c>
      <c r="X112">
        <v>3</v>
      </c>
      <c r="Y112">
        <v>43</v>
      </c>
      <c r="AC112">
        <f>U112/U113</f>
        <v>0.62966806521391394</v>
      </c>
      <c r="AD112">
        <f t="shared" ref="AD112" si="50">I112-I113</f>
        <v>-2</v>
      </c>
    </row>
    <row r="113" spans="1:30" x14ac:dyDescent="0.25">
      <c r="A113">
        <v>3.2762358999999998E-2</v>
      </c>
      <c r="B113">
        <v>11.342415985467699</v>
      </c>
      <c r="C113">
        <v>19.888889312744102</v>
      </c>
      <c r="D113">
        <v>4862</v>
      </c>
      <c r="E113">
        <v>33</v>
      </c>
      <c r="F113">
        <v>43</v>
      </c>
      <c r="G113" t="s">
        <v>25</v>
      </c>
      <c r="H113">
        <v>55</v>
      </c>
      <c r="I113">
        <v>213</v>
      </c>
      <c r="J113">
        <v>43</v>
      </c>
      <c r="K113">
        <v>62</v>
      </c>
      <c r="L113" t="s">
        <v>83</v>
      </c>
      <c r="M113">
        <v>7383</v>
      </c>
      <c r="N113">
        <v>12488</v>
      </c>
      <c r="O113">
        <v>7383</v>
      </c>
      <c r="P113">
        <v>43</v>
      </c>
      <c r="Q113">
        <v>1</v>
      </c>
      <c r="R113">
        <v>131.74246400000001</v>
      </c>
      <c r="S113" t="s">
        <v>28</v>
      </c>
      <c r="T113">
        <v>9.8408221000000004E-2</v>
      </c>
      <c r="U113">
        <v>0.13116992199999999</v>
      </c>
      <c r="V113">
        <v>27</v>
      </c>
      <c r="W113">
        <v>146</v>
      </c>
      <c r="X113">
        <v>22</v>
      </c>
      <c r="Y113">
        <v>43</v>
      </c>
    </row>
    <row r="114" spans="1:30" x14ac:dyDescent="0.25">
      <c r="A114">
        <v>9.0113499999999996E-3</v>
      </c>
      <c r="B114">
        <v>3.6557177615571699</v>
      </c>
      <c r="C114">
        <v>20.049999237060501</v>
      </c>
      <c r="D114">
        <v>2616</v>
      </c>
      <c r="E114">
        <v>33</v>
      </c>
      <c r="F114">
        <v>27</v>
      </c>
      <c r="G114" t="s">
        <v>25</v>
      </c>
      <c r="H114">
        <v>56</v>
      </c>
      <c r="I114">
        <v>148</v>
      </c>
      <c r="J114">
        <v>27</v>
      </c>
      <c r="K114">
        <v>22</v>
      </c>
      <c r="L114" t="s">
        <v>84</v>
      </c>
      <c r="M114">
        <v>1967</v>
      </c>
      <c r="N114">
        <v>3005</v>
      </c>
      <c r="O114">
        <v>1967</v>
      </c>
      <c r="P114">
        <v>27</v>
      </c>
      <c r="Q114">
        <v>1</v>
      </c>
      <c r="R114">
        <v>14.516382</v>
      </c>
      <c r="S114" t="s">
        <v>27</v>
      </c>
      <c r="T114">
        <v>5.3859320000000004E-3</v>
      </c>
      <c r="U114">
        <v>1.4396633000000001E-2</v>
      </c>
      <c r="V114">
        <v>20</v>
      </c>
      <c r="W114">
        <v>72</v>
      </c>
      <c r="X114">
        <v>47</v>
      </c>
      <c r="Y114">
        <v>27</v>
      </c>
      <c r="AC114">
        <f>U114/U115</f>
        <v>1.0798596724199645</v>
      </c>
      <c r="AD114">
        <f t="shared" ref="AD114" si="51">I114-I115</f>
        <v>-9</v>
      </c>
    </row>
    <row r="115" spans="1:30" x14ac:dyDescent="0.25">
      <c r="A115">
        <v>8.5672960000000003E-3</v>
      </c>
      <c r="B115">
        <v>3.66301703163017</v>
      </c>
      <c r="C115">
        <v>20.049999237060501</v>
      </c>
      <c r="D115">
        <v>2616</v>
      </c>
      <c r="E115">
        <v>33</v>
      </c>
      <c r="F115">
        <v>27</v>
      </c>
      <c r="G115" t="s">
        <v>25</v>
      </c>
      <c r="H115">
        <v>56</v>
      </c>
      <c r="I115">
        <v>157</v>
      </c>
      <c r="J115">
        <v>27</v>
      </c>
      <c r="K115">
        <v>21</v>
      </c>
      <c r="L115" t="s">
        <v>84</v>
      </c>
      <c r="M115">
        <v>1671</v>
      </c>
      <c r="N115">
        <v>3011</v>
      </c>
      <c r="O115">
        <v>1671</v>
      </c>
      <c r="P115">
        <v>27</v>
      </c>
      <c r="Q115">
        <v>2</v>
      </c>
      <c r="R115">
        <v>13.477917</v>
      </c>
      <c r="S115" t="s">
        <v>28</v>
      </c>
      <c r="T115">
        <v>4.7652579999999996E-3</v>
      </c>
      <c r="U115">
        <v>1.3331948E-2</v>
      </c>
      <c r="V115">
        <v>20</v>
      </c>
      <c r="W115">
        <v>58</v>
      </c>
      <c r="X115">
        <v>69</v>
      </c>
      <c r="Y115">
        <v>27</v>
      </c>
    </row>
    <row r="116" spans="1:30" x14ac:dyDescent="0.25">
      <c r="A116">
        <v>3.6965380000000001E-3</v>
      </c>
      <c r="B116">
        <v>2.54015748031496</v>
      </c>
      <c r="C116">
        <v>18.176469802856399</v>
      </c>
      <c r="D116">
        <v>1632</v>
      </c>
      <c r="E116">
        <v>33</v>
      </c>
      <c r="F116">
        <v>21</v>
      </c>
      <c r="G116" t="s">
        <v>25</v>
      </c>
      <c r="H116">
        <v>57</v>
      </c>
      <c r="I116">
        <v>93</v>
      </c>
      <c r="J116">
        <v>21</v>
      </c>
      <c r="K116">
        <v>13</v>
      </c>
      <c r="L116" t="s">
        <v>85</v>
      </c>
      <c r="M116">
        <v>863</v>
      </c>
      <c r="N116">
        <v>1613</v>
      </c>
      <c r="O116">
        <v>863</v>
      </c>
      <c r="P116">
        <v>21</v>
      </c>
      <c r="Q116">
        <v>1</v>
      </c>
      <c r="R116">
        <v>4.8686569999999998</v>
      </c>
      <c r="S116" t="s">
        <v>27</v>
      </c>
      <c r="T116">
        <v>1.1266519999999999E-3</v>
      </c>
      <c r="U116">
        <v>4.8226780000000004E-3</v>
      </c>
      <c r="V116">
        <v>17</v>
      </c>
      <c r="W116">
        <v>41</v>
      </c>
      <c r="X116">
        <v>29</v>
      </c>
      <c r="Y116">
        <v>21</v>
      </c>
      <c r="AC116">
        <f>U116/U117</f>
        <v>0.86406907854129378</v>
      </c>
      <c r="AD116">
        <f t="shared" ref="AD116" si="52">I116-I117</f>
        <v>-5</v>
      </c>
    </row>
    <row r="117" spans="1:30" x14ac:dyDescent="0.25">
      <c r="A117">
        <v>4.1093659999999997E-3</v>
      </c>
      <c r="B117">
        <v>2.9527559055118102</v>
      </c>
      <c r="C117">
        <v>18.176469802856399</v>
      </c>
      <c r="D117">
        <v>1632</v>
      </c>
      <c r="E117">
        <v>33</v>
      </c>
      <c r="F117">
        <v>21</v>
      </c>
      <c r="G117" t="s">
        <v>25</v>
      </c>
      <c r="H117">
        <v>57</v>
      </c>
      <c r="I117">
        <v>98</v>
      </c>
      <c r="J117">
        <v>21</v>
      </c>
      <c r="K117">
        <v>15</v>
      </c>
      <c r="L117" t="s">
        <v>85</v>
      </c>
      <c r="M117">
        <v>911</v>
      </c>
      <c r="N117">
        <v>1875</v>
      </c>
      <c r="O117">
        <v>911</v>
      </c>
      <c r="P117">
        <v>21</v>
      </c>
      <c r="Q117">
        <v>1</v>
      </c>
      <c r="R117">
        <v>5.6763320000000004</v>
      </c>
      <c r="S117" t="s">
        <v>28</v>
      </c>
      <c r="T117">
        <v>1.472524E-3</v>
      </c>
      <c r="U117">
        <v>5.5813570000000003E-3</v>
      </c>
      <c r="V117">
        <v>17</v>
      </c>
      <c r="W117">
        <v>49</v>
      </c>
      <c r="X117">
        <v>26</v>
      </c>
      <c r="Y117">
        <v>21</v>
      </c>
    </row>
    <row r="118" spans="1:30" x14ac:dyDescent="0.25">
      <c r="A118">
        <v>2.48289339999999E-2</v>
      </c>
      <c r="B118">
        <v>8.5497124075595696</v>
      </c>
      <c r="C118">
        <v>20.482759475708001</v>
      </c>
      <c r="D118">
        <v>6144</v>
      </c>
      <c r="E118">
        <v>33</v>
      </c>
      <c r="F118">
        <v>41</v>
      </c>
      <c r="G118" t="s">
        <v>25</v>
      </c>
      <c r="H118">
        <v>58</v>
      </c>
      <c r="I118">
        <v>173</v>
      </c>
      <c r="J118">
        <v>41</v>
      </c>
      <c r="K118">
        <v>68</v>
      </c>
      <c r="L118" t="s">
        <v>86</v>
      </c>
      <c r="M118">
        <v>7748</v>
      </c>
      <c r="N118">
        <v>10405</v>
      </c>
      <c r="O118">
        <v>7748</v>
      </c>
      <c r="P118">
        <v>41</v>
      </c>
      <c r="Q118">
        <v>1</v>
      </c>
      <c r="R118">
        <v>90.706096000000002</v>
      </c>
      <c r="S118" t="s">
        <v>27</v>
      </c>
      <c r="T118">
        <v>6.5537071000000002E-2</v>
      </c>
      <c r="U118">
        <v>9.0365389000000004E-2</v>
      </c>
      <c r="V118">
        <v>29</v>
      </c>
      <c r="W118">
        <v>116</v>
      </c>
      <c r="X118">
        <v>14</v>
      </c>
      <c r="Y118">
        <v>41</v>
      </c>
      <c r="AC118">
        <f>U118/U119</f>
        <v>0.61724871481980093</v>
      </c>
      <c r="AD118">
        <f t="shared" ref="AD118" si="53">I118-I119</f>
        <v>-23</v>
      </c>
    </row>
    <row r="119" spans="1:30" x14ac:dyDescent="0.25">
      <c r="A119">
        <v>3.3851669000000001E-2</v>
      </c>
      <c r="B119">
        <v>11.5595727198027</v>
      </c>
      <c r="C119">
        <v>20.482759475708001</v>
      </c>
      <c r="D119">
        <v>6144</v>
      </c>
      <c r="E119">
        <v>33</v>
      </c>
      <c r="F119">
        <v>41</v>
      </c>
      <c r="G119" t="s">
        <v>25</v>
      </c>
      <c r="H119">
        <v>58</v>
      </c>
      <c r="I119">
        <v>196</v>
      </c>
      <c r="J119">
        <v>41</v>
      </c>
      <c r="K119">
        <v>89</v>
      </c>
      <c r="L119" t="s">
        <v>86</v>
      </c>
      <c r="M119">
        <v>8241</v>
      </c>
      <c r="N119">
        <v>14068</v>
      </c>
      <c r="O119">
        <v>8241</v>
      </c>
      <c r="P119">
        <v>41</v>
      </c>
      <c r="Q119">
        <v>1</v>
      </c>
      <c r="R119">
        <v>146.920648</v>
      </c>
      <c r="S119" t="s">
        <v>28</v>
      </c>
      <c r="T119">
        <v>0.112549155</v>
      </c>
      <c r="U119">
        <v>0.14640028699999999</v>
      </c>
      <c r="V119">
        <v>29</v>
      </c>
      <c r="W119">
        <v>142</v>
      </c>
      <c r="X119">
        <v>11</v>
      </c>
      <c r="Y119">
        <v>41</v>
      </c>
    </row>
    <row r="120" spans="1:30" x14ac:dyDescent="0.25">
      <c r="A120">
        <v>4.3670502E-2</v>
      </c>
      <c r="B120">
        <v>11.4155948553054</v>
      </c>
      <c r="C120">
        <v>21.714284896850501</v>
      </c>
      <c r="D120">
        <v>6393</v>
      </c>
      <c r="E120">
        <v>33</v>
      </c>
      <c r="F120">
        <v>44</v>
      </c>
      <c r="G120" t="s">
        <v>25</v>
      </c>
      <c r="H120">
        <v>59</v>
      </c>
      <c r="I120">
        <v>238</v>
      </c>
      <c r="J120">
        <v>44</v>
      </c>
      <c r="K120">
        <v>84</v>
      </c>
      <c r="L120" t="s">
        <v>87</v>
      </c>
      <c r="M120">
        <v>10983</v>
      </c>
      <c r="N120">
        <v>14201</v>
      </c>
      <c r="O120">
        <v>10983</v>
      </c>
      <c r="P120">
        <v>44</v>
      </c>
      <c r="Q120">
        <v>1</v>
      </c>
      <c r="R120">
        <v>192.92548400000001</v>
      </c>
      <c r="S120" t="s">
        <v>27</v>
      </c>
      <c r="T120">
        <v>0.14881071700000001</v>
      </c>
      <c r="U120">
        <v>0.19248057800000001</v>
      </c>
      <c r="V120">
        <v>28</v>
      </c>
      <c r="W120">
        <v>165</v>
      </c>
      <c r="X120">
        <v>27</v>
      </c>
      <c r="Y120">
        <v>44</v>
      </c>
      <c r="AC120">
        <f>U120/U121</f>
        <v>0.95673259898726737</v>
      </c>
      <c r="AD120">
        <f t="shared" ref="AD120" si="54">I120-I121</f>
        <v>29</v>
      </c>
    </row>
    <row r="121" spans="1:30" x14ac:dyDescent="0.25">
      <c r="A121">
        <v>4.3918247999999903E-2</v>
      </c>
      <c r="B121">
        <v>14.135852090032101</v>
      </c>
      <c r="C121">
        <v>21.714284896850501</v>
      </c>
      <c r="D121">
        <v>6393</v>
      </c>
      <c r="E121">
        <v>33</v>
      </c>
      <c r="F121">
        <v>44</v>
      </c>
      <c r="G121" t="s">
        <v>25</v>
      </c>
      <c r="H121">
        <v>59</v>
      </c>
      <c r="I121">
        <v>209</v>
      </c>
      <c r="J121">
        <v>44</v>
      </c>
      <c r="K121">
        <v>108</v>
      </c>
      <c r="L121" t="s">
        <v>87</v>
      </c>
      <c r="M121">
        <v>10317</v>
      </c>
      <c r="N121">
        <v>17585</v>
      </c>
      <c r="O121">
        <v>10317</v>
      </c>
      <c r="P121">
        <v>44</v>
      </c>
      <c r="Q121">
        <v>1</v>
      </c>
      <c r="R121">
        <v>201.768744</v>
      </c>
      <c r="S121" t="s">
        <v>28</v>
      </c>
      <c r="T121">
        <v>0.157267776</v>
      </c>
      <c r="U121">
        <v>0.20118534499999999</v>
      </c>
      <c r="V121">
        <v>28</v>
      </c>
      <c r="W121">
        <v>143</v>
      </c>
      <c r="X121">
        <v>20</v>
      </c>
      <c r="Y121">
        <v>44</v>
      </c>
    </row>
    <row r="122" spans="1:30" x14ac:dyDescent="0.25">
      <c r="A122">
        <v>3.9608849999999999E-3</v>
      </c>
      <c r="B122">
        <v>2.8364485981308398</v>
      </c>
      <c r="C122">
        <v>17.3333339691162</v>
      </c>
      <c r="D122">
        <v>2022</v>
      </c>
      <c r="E122">
        <v>25</v>
      </c>
      <c r="F122">
        <v>19</v>
      </c>
      <c r="G122" t="s">
        <v>25</v>
      </c>
      <c r="H122">
        <v>60</v>
      </c>
      <c r="I122">
        <v>87</v>
      </c>
      <c r="J122">
        <v>19</v>
      </c>
      <c r="K122">
        <v>9</v>
      </c>
      <c r="L122" t="s">
        <v>88</v>
      </c>
      <c r="M122">
        <v>1069</v>
      </c>
      <c r="N122">
        <v>1821</v>
      </c>
      <c r="O122">
        <v>1069</v>
      </c>
      <c r="P122">
        <v>19</v>
      </c>
      <c r="Q122">
        <v>1</v>
      </c>
      <c r="R122">
        <v>5.571733</v>
      </c>
      <c r="S122" t="s">
        <v>27</v>
      </c>
      <c r="T122">
        <v>1.56635E-3</v>
      </c>
      <c r="U122">
        <v>5.5266580000000003E-3</v>
      </c>
      <c r="V122">
        <v>18</v>
      </c>
      <c r="W122">
        <v>34</v>
      </c>
      <c r="X122">
        <v>32</v>
      </c>
      <c r="Y122">
        <v>19</v>
      </c>
      <c r="AC122">
        <f>U122/U123</f>
        <v>0.63526505939756772</v>
      </c>
      <c r="AD122">
        <f t="shared" ref="AD122" si="55">I122-I123</f>
        <v>-18</v>
      </c>
    </row>
    <row r="123" spans="1:30" x14ac:dyDescent="0.25">
      <c r="A123">
        <v>5.8173549999999997E-3</v>
      </c>
      <c r="B123">
        <v>3.1292834890965699</v>
      </c>
      <c r="C123">
        <v>17.3333339691162</v>
      </c>
      <c r="D123">
        <v>2022</v>
      </c>
      <c r="E123">
        <v>25</v>
      </c>
      <c r="F123">
        <v>19</v>
      </c>
      <c r="G123" t="s">
        <v>25</v>
      </c>
      <c r="H123">
        <v>60</v>
      </c>
      <c r="I123">
        <v>105</v>
      </c>
      <c r="J123">
        <v>19</v>
      </c>
      <c r="K123">
        <v>10</v>
      </c>
      <c r="L123" t="s">
        <v>88</v>
      </c>
      <c r="M123">
        <v>1041</v>
      </c>
      <c r="N123">
        <v>2009</v>
      </c>
      <c r="O123">
        <v>1041</v>
      </c>
      <c r="P123">
        <v>19</v>
      </c>
      <c r="Q123">
        <v>1</v>
      </c>
      <c r="R123">
        <v>8.8010970000000004</v>
      </c>
      <c r="S123" t="s">
        <v>28</v>
      </c>
      <c r="T123">
        <v>2.8830240000000001E-3</v>
      </c>
      <c r="U123">
        <v>8.6997670000000006E-3</v>
      </c>
      <c r="V123">
        <v>18</v>
      </c>
      <c r="W123">
        <v>41</v>
      </c>
      <c r="X123">
        <v>43</v>
      </c>
      <c r="Y123">
        <v>19</v>
      </c>
    </row>
    <row r="124" spans="1:30" x14ac:dyDescent="0.25">
      <c r="A124">
        <v>8.6519699999999995E-4</v>
      </c>
      <c r="B124">
        <v>1.7450980392156801</v>
      </c>
      <c r="C124">
        <v>14.800000190734799</v>
      </c>
      <c r="D124">
        <v>87</v>
      </c>
      <c r="E124">
        <v>25</v>
      </c>
      <c r="F124">
        <v>7</v>
      </c>
      <c r="G124" t="s">
        <v>25</v>
      </c>
      <c r="H124">
        <v>61</v>
      </c>
      <c r="I124">
        <v>48</v>
      </c>
      <c r="J124">
        <v>7</v>
      </c>
      <c r="K124">
        <v>4</v>
      </c>
      <c r="L124" t="s">
        <v>89</v>
      </c>
      <c r="M124">
        <v>101</v>
      </c>
      <c r="N124">
        <v>267</v>
      </c>
      <c r="O124">
        <v>101</v>
      </c>
      <c r="P124">
        <v>7</v>
      </c>
      <c r="Q124">
        <v>1</v>
      </c>
      <c r="R124">
        <v>1.01457</v>
      </c>
      <c r="S124" t="s">
        <v>27</v>
      </c>
      <c r="T124">
        <v>1.2182500000000001E-4</v>
      </c>
      <c r="U124">
        <v>9.8651899999999994E-4</v>
      </c>
      <c r="V124">
        <v>5</v>
      </c>
      <c r="W124">
        <v>3</v>
      </c>
      <c r="X124">
        <v>36</v>
      </c>
      <c r="Y124">
        <v>7</v>
      </c>
      <c r="AC124">
        <f>U124/U125</f>
        <v>0.94919476350928766</v>
      </c>
      <c r="AD124">
        <f t="shared" ref="AD124" si="56">I124-I125</f>
        <v>2</v>
      </c>
    </row>
    <row r="125" spans="1:30" x14ac:dyDescent="0.25">
      <c r="A125">
        <v>8.9667200000000005E-4</v>
      </c>
      <c r="B125">
        <v>1.9542483660130701</v>
      </c>
      <c r="C125">
        <v>14.800000190734799</v>
      </c>
      <c r="D125">
        <v>87</v>
      </c>
      <c r="E125">
        <v>25</v>
      </c>
      <c r="F125">
        <v>7</v>
      </c>
      <c r="G125" t="s">
        <v>25</v>
      </c>
      <c r="H125">
        <v>61</v>
      </c>
      <c r="I125">
        <v>46</v>
      </c>
      <c r="J125">
        <v>7</v>
      </c>
      <c r="K125">
        <v>7</v>
      </c>
      <c r="L125" t="s">
        <v>89</v>
      </c>
      <c r="M125">
        <v>106</v>
      </c>
      <c r="N125">
        <v>299</v>
      </c>
      <c r="O125">
        <v>106</v>
      </c>
      <c r="P125">
        <v>7</v>
      </c>
      <c r="Q125">
        <v>1</v>
      </c>
      <c r="R125">
        <v>1.0657490000000001</v>
      </c>
      <c r="S125" t="s">
        <v>28</v>
      </c>
      <c r="T125">
        <v>1.4309699999999999E-4</v>
      </c>
      <c r="U125">
        <v>1.0393220000000001E-3</v>
      </c>
      <c r="V125">
        <v>5</v>
      </c>
      <c r="W125">
        <v>5</v>
      </c>
      <c r="X125">
        <v>32</v>
      </c>
      <c r="Y125">
        <v>7</v>
      </c>
    </row>
    <row r="126" spans="1:30" x14ac:dyDescent="0.25">
      <c r="A126">
        <v>1.314291E-3</v>
      </c>
      <c r="B126">
        <v>2.7341040462427699</v>
      </c>
      <c r="C126">
        <v>16.799999237060501</v>
      </c>
      <c r="D126">
        <v>136</v>
      </c>
      <c r="E126">
        <v>20</v>
      </c>
      <c r="F126">
        <v>5</v>
      </c>
      <c r="G126" t="s">
        <v>25</v>
      </c>
      <c r="H126">
        <v>62</v>
      </c>
      <c r="I126">
        <v>71</v>
      </c>
      <c r="J126">
        <v>5</v>
      </c>
      <c r="K126">
        <v>7</v>
      </c>
      <c r="L126" t="s">
        <v>90</v>
      </c>
      <c r="M126">
        <v>275</v>
      </c>
      <c r="N126">
        <v>473</v>
      </c>
      <c r="O126">
        <v>275</v>
      </c>
      <c r="P126">
        <v>5</v>
      </c>
      <c r="Q126">
        <v>1</v>
      </c>
      <c r="R126">
        <v>1.675279</v>
      </c>
      <c r="S126" t="s">
        <v>27</v>
      </c>
      <c r="T126">
        <v>3.4857300000000003E-4</v>
      </c>
      <c r="U126">
        <v>1.66237E-3</v>
      </c>
      <c r="V126">
        <v>5</v>
      </c>
      <c r="W126">
        <v>10</v>
      </c>
      <c r="X126">
        <v>54</v>
      </c>
      <c r="Y126">
        <v>5</v>
      </c>
      <c r="AC126">
        <f>U126/U127</f>
        <v>0.70171980173862825</v>
      </c>
      <c r="AD126">
        <f t="shared" ref="AD126" si="57">I126-I127</f>
        <v>3</v>
      </c>
    </row>
    <row r="127" spans="1:30" x14ac:dyDescent="0.25">
      <c r="A127">
        <v>1.8997059999999999E-3</v>
      </c>
      <c r="B127">
        <v>3.0751445086705198</v>
      </c>
      <c r="C127">
        <v>16.799999237060501</v>
      </c>
      <c r="D127">
        <v>136</v>
      </c>
      <c r="E127">
        <v>20</v>
      </c>
      <c r="F127">
        <v>5</v>
      </c>
      <c r="G127" t="s">
        <v>25</v>
      </c>
      <c r="H127">
        <v>62</v>
      </c>
      <c r="I127">
        <v>68</v>
      </c>
      <c r="J127">
        <v>5</v>
      </c>
      <c r="K127">
        <v>8</v>
      </c>
      <c r="L127" t="s">
        <v>90</v>
      </c>
      <c r="M127">
        <v>305</v>
      </c>
      <c r="N127">
        <v>532</v>
      </c>
      <c r="O127">
        <v>305</v>
      </c>
      <c r="P127">
        <v>5</v>
      </c>
      <c r="Q127">
        <v>1</v>
      </c>
      <c r="R127">
        <v>2.4335059999999999</v>
      </c>
      <c r="S127" t="s">
        <v>28</v>
      </c>
      <c r="T127">
        <v>4.6984799999999998E-4</v>
      </c>
      <c r="U127">
        <v>2.3689940000000001E-3</v>
      </c>
      <c r="V127">
        <v>5</v>
      </c>
      <c r="W127">
        <v>8</v>
      </c>
      <c r="X127">
        <v>53</v>
      </c>
      <c r="Y127">
        <v>5</v>
      </c>
    </row>
    <row r="128" spans="1:30" x14ac:dyDescent="0.25">
      <c r="A128">
        <v>8.5332399999999992E-3</v>
      </c>
      <c r="B128">
        <v>3.5045592705167099</v>
      </c>
      <c r="C128">
        <v>15.949999809265099</v>
      </c>
      <c r="D128">
        <v>2246</v>
      </c>
      <c r="E128">
        <v>25</v>
      </c>
      <c r="F128">
        <v>31</v>
      </c>
      <c r="G128" t="s">
        <v>25</v>
      </c>
      <c r="H128">
        <v>63</v>
      </c>
      <c r="I128">
        <v>135</v>
      </c>
      <c r="J128">
        <v>31</v>
      </c>
      <c r="K128">
        <v>14</v>
      </c>
      <c r="L128" t="s">
        <v>91</v>
      </c>
      <c r="M128">
        <v>1463</v>
      </c>
      <c r="N128">
        <v>2306</v>
      </c>
      <c r="O128">
        <v>1463</v>
      </c>
      <c r="P128">
        <v>31</v>
      </c>
      <c r="Q128">
        <v>1</v>
      </c>
      <c r="R128">
        <v>12.470744</v>
      </c>
      <c r="S128" t="s">
        <v>27</v>
      </c>
      <c r="T128">
        <v>3.777884E-3</v>
      </c>
      <c r="U128">
        <v>1.2310405999999999E-2</v>
      </c>
      <c r="V128">
        <v>20</v>
      </c>
      <c r="W128">
        <v>46</v>
      </c>
      <c r="X128">
        <v>56</v>
      </c>
      <c r="Y128">
        <v>31</v>
      </c>
      <c r="AC128">
        <f>U128/U129</f>
        <v>1.5306370970429217</v>
      </c>
      <c r="AD128">
        <f t="shared" ref="AD128" si="58">I128-I129</f>
        <v>34</v>
      </c>
    </row>
    <row r="129" spans="1:30" x14ac:dyDescent="0.25">
      <c r="A129">
        <v>5.734332E-3</v>
      </c>
      <c r="B129">
        <v>3.3753799392097199</v>
      </c>
      <c r="C129">
        <v>15.949999809265099</v>
      </c>
      <c r="D129">
        <v>2246</v>
      </c>
      <c r="E129">
        <v>25</v>
      </c>
      <c r="F129">
        <v>31</v>
      </c>
      <c r="G129" t="s">
        <v>25</v>
      </c>
      <c r="H129">
        <v>63</v>
      </c>
      <c r="I129">
        <v>101</v>
      </c>
      <c r="J129">
        <v>31</v>
      </c>
      <c r="K129">
        <v>15</v>
      </c>
      <c r="L129" t="s">
        <v>91</v>
      </c>
      <c r="M129">
        <v>1121</v>
      </c>
      <c r="N129">
        <v>2221</v>
      </c>
      <c r="O129">
        <v>1121</v>
      </c>
      <c r="P129">
        <v>31</v>
      </c>
      <c r="Q129">
        <v>1</v>
      </c>
      <c r="R129">
        <v>8.1499410000000001</v>
      </c>
      <c r="S129" t="s">
        <v>28</v>
      </c>
      <c r="T129">
        <v>2.308975E-3</v>
      </c>
      <c r="U129">
        <v>8.0426679999999993E-3</v>
      </c>
      <c r="V129">
        <v>20</v>
      </c>
      <c r="W129">
        <v>43</v>
      </c>
      <c r="X129">
        <v>25</v>
      </c>
      <c r="Y129">
        <v>31</v>
      </c>
    </row>
    <row r="130" spans="1:30" x14ac:dyDescent="0.25">
      <c r="A130">
        <v>1.793317E-3</v>
      </c>
      <c r="B130">
        <v>3.5901639344262199</v>
      </c>
      <c r="C130">
        <v>17.799999237060501</v>
      </c>
      <c r="D130">
        <v>136</v>
      </c>
      <c r="E130">
        <v>25</v>
      </c>
      <c r="F130">
        <v>6</v>
      </c>
      <c r="G130" t="s">
        <v>25</v>
      </c>
      <c r="H130">
        <v>64</v>
      </c>
      <c r="I130">
        <v>67</v>
      </c>
      <c r="J130">
        <v>6</v>
      </c>
      <c r="K130">
        <v>12</v>
      </c>
      <c r="L130" t="s">
        <v>92</v>
      </c>
      <c r="M130">
        <v>430</v>
      </c>
      <c r="N130">
        <v>657</v>
      </c>
      <c r="O130">
        <v>430</v>
      </c>
      <c r="P130">
        <v>6</v>
      </c>
      <c r="Q130">
        <v>1</v>
      </c>
      <c r="R130">
        <v>2.5770949999999999</v>
      </c>
      <c r="S130" t="s">
        <v>27</v>
      </c>
      <c r="T130">
        <v>7.5617299999999996E-4</v>
      </c>
      <c r="U130">
        <v>2.548991E-3</v>
      </c>
      <c r="V130">
        <v>5</v>
      </c>
      <c r="W130">
        <v>25</v>
      </c>
      <c r="X130">
        <v>34</v>
      </c>
      <c r="Y130">
        <v>6</v>
      </c>
      <c r="AC130">
        <f>U130/U131</f>
        <v>0.83207607467623512</v>
      </c>
      <c r="AD130">
        <f t="shared" ref="AD130" si="59">I130-I131</f>
        <v>-9</v>
      </c>
    </row>
    <row r="131" spans="1:30" x14ac:dyDescent="0.25">
      <c r="A131">
        <v>2.1914399999999998E-3</v>
      </c>
      <c r="B131">
        <v>3.85245901639344</v>
      </c>
      <c r="C131">
        <v>17.799999237060501</v>
      </c>
      <c r="D131">
        <v>136</v>
      </c>
      <c r="E131">
        <v>25</v>
      </c>
      <c r="F131">
        <v>6</v>
      </c>
      <c r="G131" t="s">
        <v>25</v>
      </c>
      <c r="H131">
        <v>64</v>
      </c>
      <c r="I131">
        <v>76</v>
      </c>
      <c r="J131">
        <v>6</v>
      </c>
      <c r="K131">
        <v>12</v>
      </c>
      <c r="L131" t="s">
        <v>92</v>
      </c>
      <c r="M131">
        <v>396</v>
      </c>
      <c r="N131">
        <v>705</v>
      </c>
      <c r="O131">
        <v>396</v>
      </c>
      <c r="P131">
        <v>6</v>
      </c>
      <c r="Q131">
        <v>1</v>
      </c>
      <c r="R131">
        <v>3.2164839999999999</v>
      </c>
      <c r="S131" t="s">
        <v>28</v>
      </c>
      <c r="T131">
        <v>8.7270100000000003E-4</v>
      </c>
      <c r="U131">
        <v>3.0634109999999998E-3</v>
      </c>
      <c r="V131">
        <v>5</v>
      </c>
      <c r="W131">
        <v>25</v>
      </c>
      <c r="X131">
        <v>43</v>
      </c>
      <c r="Y131">
        <v>6</v>
      </c>
    </row>
    <row r="132" spans="1:30" x14ac:dyDescent="0.25">
      <c r="A132">
        <v>9.9958800000000004E-4</v>
      </c>
      <c r="B132">
        <v>1.9299363057324801</v>
      </c>
      <c r="C132">
        <v>15.199999809265099</v>
      </c>
      <c r="D132">
        <v>93</v>
      </c>
      <c r="E132">
        <v>25</v>
      </c>
      <c r="F132">
        <v>5</v>
      </c>
      <c r="G132" t="s">
        <v>25</v>
      </c>
      <c r="H132">
        <v>65</v>
      </c>
      <c r="I132">
        <v>46</v>
      </c>
      <c r="J132">
        <v>5</v>
      </c>
      <c r="K132">
        <v>4</v>
      </c>
      <c r="L132" t="s">
        <v>93</v>
      </c>
      <c r="M132">
        <v>137</v>
      </c>
      <c r="N132">
        <v>303</v>
      </c>
      <c r="O132">
        <v>137</v>
      </c>
      <c r="P132">
        <v>5</v>
      </c>
      <c r="Q132">
        <v>1</v>
      </c>
      <c r="R132">
        <v>1.2130320000000001</v>
      </c>
      <c r="S132" t="s">
        <v>27</v>
      </c>
      <c r="T132">
        <v>1.84177E-4</v>
      </c>
      <c r="U132">
        <v>1.1833080000000001E-3</v>
      </c>
      <c r="V132">
        <v>5</v>
      </c>
      <c r="W132">
        <v>3</v>
      </c>
      <c r="X132">
        <v>36</v>
      </c>
      <c r="Y132">
        <v>5</v>
      </c>
      <c r="AC132">
        <f>U132/U133</f>
        <v>0.81403546427156259</v>
      </c>
      <c r="AD132">
        <f t="shared" ref="AD132" si="60">I132-I133</f>
        <v>-4</v>
      </c>
    </row>
    <row r="133" spans="1:30" x14ac:dyDescent="0.25">
      <c r="A133">
        <v>1.2228689999999999E-3</v>
      </c>
      <c r="B133">
        <v>1.96815286624203</v>
      </c>
      <c r="C133">
        <v>15.199999809265099</v>
      </c>
      <c r="D133">
        <v>93</v>
      </c>
      <c r="E133">
        <v>25</v>
      </c>
      <c r="F133">
        <v>5</v>
      </c>
      <c r="G133" t="s">
        <v>25</v>
      </c>
      <c r="H133">
        <v>65</v>
      </c>
      <c r="I133">
        <v>50</v>
      </c>
      <c r="J133">
        <v>5</v>
      </c>
      <c r="K133">
        <v>4</v>
      </c>
      <c r="L133" t="s">
        <v>93</v>
      </c>
      <c r="M133">
        <v>130</v>
      </c>
      <c r="N133">
        <v>309</v>
      </c>
      <c r="O133">
        <v>130</v>
      </c>
      <c r="P133">
        <v>5</v>
      </c>
      <c r="Q133">
        <v>1</v>
      </c>
      <c r="R133">
        <v>1.502267</v>
      </c>
      <c r="S133" t="s">
        <v>28</v>
      </c>
      <c r="T133">
        <v>2.31201E-4</v>
      </c>
      <c r="U133">
        <v>1.4536320000000001E-3</v>
      </c>
      <c r="V133">
        <v>5</v>
      </c>
      <c r="W133">
        <v>2</v>
      </c>
      <c r="X133">
        <v>41</v>
      </c>
      <c r="Y133">
        <v>5</v>
      </c>
    </row>
    <row r="134" spans="1:30" x14ac:dyDescent="0.25">
      <c r="A134">
        <v>9.9274339999999902E-3</v>
      </c>
      <c r="B134">
        <v>4.3399470899470902</v>
      </c>
      <c r="C134">
        <v>15.25</v>
      </c>
      <c r="D134">
        <v>2865</v>
      </c>
      <c r="E134">
        <v>25</v>
      </c>
      <c r="F134">
        <v>40</v>
      </c>
      <c r="G134" t="s">
        <v>25</v>
      </c>
      <c r="H134">
        <v>66</v>
      </c>
      <c r="I134">
        <v>166</v>
      </c>
      <c r="J134">
        <v>40</v>
      </c>
      <c r="K134">
        <v>15</v>
      </c>
      <c r="L134" t="s">
        <v>94</v>
      </c>
      <c r="M134">
        <v>2270</v>
      </c>
      <c r="N134">
        <v>3281</v>
      </c>
      <c r="O134">
        <v>2270</v>
      </c>
      <c r="P134">
        <v>40</v>
      </c>
      <c r="Q134">
        <v>1</v>
      </c>
      <c r="R134">
        <v>23.037330999999998</v>
      </c>
      <c r="S134" t="s">
        <v>27</v>
      </c>
      <c r="T134">
        <v>1.2986339E-2</v>
      </c>
      <c r="U134">
        <v>2.2913256999999999E-2</v>
      </c>
      <c r="V134">
        <v>24</v>
      </c>
      <c r="W134">
        <v>68</v>
      </c>
      <c r="X134">
        <v>56</v>
      </c>
      <c r="Y134">
        <v>40</v>
      </c>
      <c r="AC134">
        <f>U134/U135</f>
        <v>1.1410735662240037</v>
      </c>
      <c r="AD134">
        <f t="shared" ref="AD134" si="61">I134-I135</f>
        <v>19</v>
      </c>
    </row>
    <row r="135" spans="1:30" x14ac:dyDescent="0.25">
      <c r="A135">
        <v>9.5305210000000001E-3</v>
      </c>
      <c r="B135">
        <v>4.25</v>
      </c>
      <c r="C135">
        <v>15.25</v>
      </c>
      <c r="D135">
        <v>2865</v>
      </c>
      <c r="E135">
        <v>25</v>
      </c>
      <c r="F135">
        <v>40</v>
      </c>
      <c r="G135" t="s">
        <v>25</v>
      </c>
      <c r="H135">
        <v>66</v>
      </c>
      <c r="I135">
        <v>147</v>
      </c>
      <c r="J135">
        <v>40</v>
      </c>
      <c r="K135">
        <v>17</v>
      </c>
      <c r="L135" t="s">
        <v>94</v>
      </c>
      <c r="M135">
        <v>1832</v>
      </c>
      <c r="N135">
        <v>3213</v>
      </c>
      <c r="O135">
        <v>1832</v>
      </c>
      <c r="P135">
        <v>40</v>
      </c>
      <c r="Q135">
        <v>1</v>
      </c>
      <c r="R135">
        <v>20.207916000000001</v>
      </c>
      <c r="S135" t="s">
        <v>28</v>
      </c>
      <c r="T135">
        <v>1.0550459999999999E-2</v>
      </c>
      <c r="U135">
        <v>2.0080437999999999E-2</v>
      </c>
      <c r="V135">
        <v>24</v>
      </c>
      <c r="W135">
        <v>56</v>
      </c>
      <c r="X135">
        <v>49</v>
      </c>
      <c r="Y135">
        <v>40</v>
      </c>
    </row>
    <row r="136" spans="1:30" x14ac:dyDescent="0.25">
      <c r="A136">
        <v>1.510359E-3</v>
      </c>
      <c r="B136">
        <v>2.4388489208633</v>
      </c>
      <c r="C136">
        <v>13.399999618530201</v>
      </c>
      <c r="D136">
        <v>72</v>
      </c>
      <c r="E136">
        <v>25</v>
      </c>
      <c r="F136">
        <v>10</v>
      </c>
      <c r="G136" t="s">
        <v>25</v>
      </c>
      <c r="H136">
        <v>67</v>
      </c>
      <c r="I136">
        <v>82</v>
      </c>
      <c r="J136">
        <v>10</v>
      </c>
      <c r="K136">
        <v>5</v>
      </c>
      <c r="L136" t="s">
        <v>95</v>
      </c>
      <c r="M136">
        <v>187</v>
      </c>
      <c r="N136">
        <v>339</v>
      </c>
      <c r="O136">
        <v>187</v>
      </c>
      <c r="P136">
        <v>10</v>
      </c>
      <c r="Q136">
        <v>1</v>
      </c>
      <c r="R136">
        <v>1.7774570000000001</v>
      </c>
      <c r="S136" t="s">
        <v>27</v>
      </c>
      <c r="T136">
        <v>2.3748000000000001E-4</v>
      </c>
      <c r="U136">
        <v>1.7472550000000001E-3</v>
      </c>
      <c r="V136">
        <v>5</v>
      </c>
      <c r="W136">
        <v>4</v>
      </c>
      <c r="X136">
        <v>66</v>
      </c>
      <c r="Y136">
        <v>10</v>
      </c>
      <c r="AC136">
        <f>U136/U137</f>
        <v>1.012785786202967</v>
      </c>
      <c r="AD136">
        <f t="shared" ref="AD136" si="62">I136-I137</f>
        <v>3</v>
      </c>
    </row>
    <row r="137" spans="1:30" x14ac:dyDescent="0.25">
      <c r="A137">
        <v>1.4880239999999999E-3</v>
      </c>
      <c r="B137">
        <v>2.5683453237410001</v>
      </c>
      <c r="C137">
        <v>13.399999618530201</v>
      </c>
      <c r="D137">
        <v>72</v>
      </c>
      <c r="E137">
        <v>25</v>
      </c>
      <c r="F137">
        <v>10</v>
      </c>
      <c r="G137" t="s">
        <v>25</v>
      </c>
      <c r="H137">
        <v>67</v>
      </c>
      <c r="I137">
        <v>79</v>
      </c>
      <c r="J137">
        <v>10</v>
      </c>
      <c r="K137">
        <v>5</v>
      </c>
      <c r="L137" t="s">
        <v>95</v>
      </c>
      <c r="M137">
        <v>184</v>
      </c>
      <c r="N137">
        <v>357</v>
      </c>
      <c r="O137">
        <v>184</v>
      </c>
      <c r="P137">
        <v>10</v>
      </c>
      <c r="Q137">
        <v>1</v>
      </c>
      <c r="R137">
        <v>1.7422899999999999</v>
      </c>
      <c r="S137" t="s">
        <v>28</v>
      </c>
      <c r="T137">
        <v>2.3760099999999999E-4</v>
      </c>
      <c r="U137">
        <v>1.7251969999999999E-3</v>
      </c>
      <c r="V137">
        <v>5</v>
      </c>
      <c r="W137">
        <v>5</v>
      </c>
      <c r="X137">
        <v>62</v>
      </c>
      <c r="Y137">
        <v>10</v>
      </c>
    </row>
    <row r="138" spans="1:30" x14ac:dyDescent="0.25">
      <c r="A138">
        <v>1.1550880000000001E-3</v>
      </c>
      <c r="B138">
        <v>2.8730964467005</v>
      </c>
      <c r="C138">
        <v>13.571428298950099</v>
      </c>
      <c r="D138">
        <v>150</v>
      </c>
      <c r="E138">
        <v>25</v>
      </c>
      <c r="F138">
        <v>11</v>
      </c>
      <c r="G138" t="s">
        <v>25</v>
      </c>
      <c r="H138">
        <v>68</v>
      </c>
      <c r="I138">
        <v>53</v>
      </c>
      <c r="J138">
        <v>11</v>
      </c>
      <c r="K138">
        <v>7</v>
      </c>
      <c r="L138" t="s">
        <v>96</v>
      </c>
      <c r="M138">
        <v>320</v>
      </c>
      <c r="N138">
        <v>566</v>
      </c>
      <c r="O138">
        <v>320</v>
      </c>
      <c r="P138">
        <v>11</v>
      </c>
      <c r="Q138">
        <v>1</v>
      </c>
      <c r="R138">
        <v>1.419424</v>
      </c>
      <c r="S138" t="s">
        <v>27</v>
      </c>
      <c r="T138">
        <v>2.3436999999999999E-4</v>
      </c>
      <c r="U138">
        <v>1.3889760000000001E-3</v>
      </c>
      <c r="V138">
        <v>7</v>
      </c>
      <c r="W138">
        <v>18</v>
      </c>
      <c r="X138">
        <v>22</v>
      </c>
      <c r="Y138">
        <v>11</v>
      </c>
      <c r="AC138">
        <f>U138/U139</f>
        <v>1.0589128611725243</v>
      </c>
      <c r="AD138">
        <f t="shared" ref="AD138" si="63">I138-I139</f>
        <v>3</v>
      </c>
    </row>
    <row r="139" spans="1:30" x14ac:dyDescent="0.25">
      <c r="A139">
        <v>1.0782229999999999E-3</v>
      </c>
      <c r="B139">
        <v>2.8020304568527901</v>
      </c>
      <c r="C139">
        <v>13.571428298950099</v>
      </c>
      <c r="D139">
        <v>150</v>
      </c>
      <c r="E139">
        <v>25</v>
      </c>
      <c r="F139">
        <v>11</v>
      </c>
      <c r="G139" t="s">
        <v>25</v>
      </c>
      <c r="H139">
        <v>68</v>
      </c>
      <c r="I139">
        <v>50</v>
      </c>
      <c r="J139">
        <v>11</v>
      </c>
      <c r="K139">
        <v>8</v>
      </c>
      <c r="L139" t="s">
        <v>96</v>
      </c>
      <c r="M139">
        <v>239</v>
      </c>
      <c r="N139">
        <v>552</v>
      </c>
      <c r="O139">
        <v>239</v>
      </c>
      <c r="P139">
        <v>11</v>
      </c>
      <c r="Q139">
        <v>1</v>
      </c>
      <c r="R139">
        <v>1.343493</v>
      </c>
      <c r="S139" t="s">
        <v>28</v>
      </c>
      <c r="T139">
        <v>2.3388E-4</v>
      </c>
      <c r="U139">
        <v>1.3117000000000001E-3</v>
      </c>
      <c r="V139">
        <v>7</v>
      </c>
      <c r="W139">
        <v>17</v>
      </c>
      <c r="X139">
        <v>20</v>
      </c>
      <c r="Y139">
        <v>11</v>
      </c>
    </row>
    <row r="140" spans="1:30" x14ac:dyDescent="0.25">
      <c r="A140">
        <v>1.0327509999999999E-3</v>
      </c>
      <c r="B140">
        <v>1.6898395721925099</v>
      </c>
      <c r="C140">
        <v>12.857142448425201</v>
      </c>
      <c r="D140">
        <v>126</v>
      </c>
      <c r="E140">
        <v>25</v>
      </c>
      <c r="F140">
        <v>11</v>
      </c>
      <c r="G140" t="s">
        <v>25</v>
      </c>
      <c r="H140">
        <v>69</v>
      </c>
      <c r="I140">
        <v>58</v>
      </c>
      <c r="J140">
        <v>11</v>
      </c>
      <c r="K140">
        <v>5</v>
      </c>
      <c r="L140" t="s">
        <v>97</v>
      </c>
      <c r="M140">
        <v>117</v>
      </c>
      <c r="N140">
        <v>316</v>
      </c>
      <c r="O140">
        <v>117</v>
      </c>
      <c r="P140">
        <v>11</v>
      </c>
      <c r="Q140">
        <v>1</v>
      </c>
      <c r="R140">
        <v>1.2007570000000001</v>
      </c>
      <c r="S140" t="s">
        <v>27</v>
      </c>
      <c r="T140">
        <v>1.4605799999999999E-4</v>
      </c>
      <c r="U140">
        <v>1.17836E-3</v>
      </c>
      <c r="V140">
        <v>7</v>
      </c>
      <c r="W140">
        <v>4</v>
      </c>
      <c r="X140">
        <v>41</v>
      </c>
      <c r="Y140">
        <v>11</v>
      </c>
      <c r="AC140">
        <f>U140/U141</f>
        <v>1.0146135486159664</v>
      </c>
      <c r="AD140">
        <f t="shared" ref="AD140" si="64">I140-I141</f>
        <v>5</v>
      </c>
    </row>
    <row r="141" spans="1:30" x14ac:dyDescent="0.25">
      <c r="A141">
        <v>1.042629E-3</v>
      </c>
      <c r="B141">
        <v>1.7326203208556099</v>
      </c>
      <c r="C141">
        <v>12.857142448425201</v>
      </c>
      <c r="D141">
        <v>126</v>
      </c>
      <c r="E141">
        <v>25</v>
      </c>
      <c r="F141">
        <v>11</v>
      </c>
      <c r="G141" t="s">
        <v>25</v>
      </c>
      <c r="H141">
        <v>69</v>
      </c>
      <c r="I141">
        <v>53</v>
      </c>
      <c r="J141">
        <v>11</v>
      </c>
      <c r="K141">
        <v>5</v>
      </c>
      <c r="L141" t="s">
        <v>97</v>
      </c>
      <c r="M141">
        <v>105</v>
      </c>
      <c r="N141">
        <v>324</v>
      </c>
      <c r="O141">
        <v>105</v>
      </c>
      <c r="P141">
        <v>11</v>
      </c>
      <c r="Q141">
        <v>1</v>
      </c>
      <c r="R141">
        <v>1.1895519999999999</v>
      </c>
      <c r="S141" t="s">
        <v>28</v>
      </c>
      <c r="T141">
        <v>1.1919200000000001E-4</v>
      </c>
      <c r="U141">
        <v>1.161388E-3</v>
      </c>
      <c r="V141">
        <v>7</v>
      </c>
      <c r="W141">
        <v>5</v>
      </c>
      <c r="X141">
        <v>35</v>
      </c>
      <c r="Y141">
        <v>11</v>
      </c>
    </row>
    <row r="142" spans="1:30" x14ac:dyDescent="0.25">
      <c r="A142">
        <v>7.6184969999999897E-3</v>
      </c>
      <c r="B142">
        <v>3.6540880503144599</v>
      </c>
      <c r="C142">
        <v>15.399999618530201</v>
      </c>
      <c r="D142">
        <v>3202</v>
      </c>
      <c r="E142">
        <v>25</v>
      </c>
      <c r="F142">
        <v>44</v>
      </c>
      <c r="G142" t="s">
        <v>25</v>
      </c>
      <c r="H142">
        <v>70</v>
      </c>
      <c r="I142">
        <v>126</v>
      </c>
      <c r="J142">
        <v>44</v>
      </c>
      <c r="K142">
        <v>15</v>
      </c>
      <c r="L142" t="s">
        <v>98</v>
      </c>
      <c r="M142">
        <v>1895</v>
      </c>
      <c r="N142">
        <v>2905</v>
      </c>
      <c r="O142">
        <v>1895</v>
      </c>
      <c r="P142">
        <v>44</v>
      </c>
      <c r="Q142">
        <v>1</v>
      </c>
      <c r="R142">
        <v>14.027957000000001</v>
      </c>
      <c r="S142" t="s">
        <v>27</v>
      </c>
      <c r="T142">
        <v>6.3010460000000003E-3</v>
      </c>
      <c r="U142">
        <v>1.3918869E-2</v>
      </c>
      <c r="V142">
        <v>25</v>
      </c>
      <c r="W142">
        <v>46</v>
      </c>
      <c r="X142">
        <v>34</v>
      </c>
      <c r="Y142">
        <v>44</v>
      </c>
      <c r="AC142">
        <f>U142/U143</f>
        <v>0.91141707470409772</v>
      </c>
      <c r="AD142">
        <f t="shared" ref="AD142" si="65">I142-I143</f>
        <v>9</v>
      </c>
    </row>
    <row r="143" spans="1:30" x14ac:dyDescent="0.25">
      <c r="A143">
        <v>8.0260609999999993E-3</v>
      </c>
      <c r="B143">
        <v>4.2591194968553401</v>
      </c>
      <c r="C143">
        <v>15.399999618530201</v>
      </c>
      <c r="D143">
        <v>3202</v>
      </c>
      <c r="E143">
        <v>25</v>
      </c>
      <c r="F143">
        <v>44</v>
      </c>
      <c r="G143" t="s">
        <v>25</v>
      </c>
      <c r="H143">
        <v>70</v>
      </c>
      <c r="I143">
        <v>117</v>
      </c>
      <c r="J143">
        <v>44</v>
      </c>
      <c r="K143">
        <v>18</v>
      </c>
      <c r="L143" t="s">
        <v>98</v>
      </c>
      <c r="M143">
        <v>1891</v>
      </c>
      <c r="N143">
        <v>3386</v>
      </c>
      <c r="O143">
        <v>1891</v>
      </c>
      <c r="P143">
        <v>44</v>
      </c>
      <c r="Q143">
        <v>1</v>
      </c>
      <c r="R143">
        <v>15.415286999999999</v>
      </c>
      <c r="S143" t="s">
        <v>28</v>
      </c>
      <c r="T143">
        <v>7.2462059999999998E-3</v>
      </c>
      <c r="U143">
        <v>1.5271679E-2</v>
      </c>
      <c r="V143">
        <v>25</v>
      </c>
      <c r="W143">
        <v>52</v>
      </c>
      <c r="X143">
        <v>19</v>
      </c>
      <c r="Y143">
        <v>44</v>
      </c>
    </row>
    <row r="144" spans="1:30" x14ac:dyDescent="0.25">
      <c r="A144">
        <v>3.3060310000000001E-3</v>
      </c>
      <c r="B144">
        <v>3.23931623931623</v>
      </c>
      <c r="C144">
        <v>16.214284896850501</v>
      </c>
      <c r="D144">
        <v>970</v>
      </c>
      <c r="E144">
        <v>25</v>
      </c>
      <c r="F144">
        <v>19</v>
      </c>
      <c r="G144" t="s">
        <v>25</v>
      </c>
      <c r="H144">
        <v>71</v>
      </c>
      <c r="I144">
        <v>86</v>
      </c>
      <c r="J144">
        <v>19</v>
      </c>
      <c r="K144">
        <v>16</v>
      </c>
      <c r="L144" t="s">
        <v>99</v>
      </c>
      <c r="M144">
        <v>904</v>
      </c>
      <c r="N144">
        <v>1516</v>
      </c>
      <c r="O144">
        <v>904</v>
      </c>
      <c r="P144">
        <v>19</v>
      </c>
      <c r="Q144">
        <v>1</v>
      </c>
      <c r="R144">
        <v>4.982005</v>
      </c>
      <c r="S144" t="s">
        <v>27</v>
      </c>
      <c r="T144">
        <v>1.651298E-3</v>
      </c>
      <c r="U144">
        <v>4.956869E-3</v>
      </c>
      <c r="V144">
        <v>14</v>
      </c>
      <c r="W144">
        <v>42</v>
      </c>
      <c r="X144">
        <v>23</v>
      </c>
      <c r="Y144">
        <v>19</v>
      </c>
      <c r="AC144">
        <f>U144/U145</f>
        <v>0.66013505891897728</v>
      </c>
      <c r="AD144">
        <f t="shared" ref="AD144" si="66">I144-I145</f>
        <v>-15</v>
      </c>
    </row>
    <row r="145" spans="1:25" x14ac:dyDescent="0.25">
      <c r="A145">
        <v>4.3440670000000001E-3</v>
      </c>
      <c r="B145">
        <v>4.1410256410256396</v>
      </c>
      <c r="C145">
        <v>16.214284896850501</v>
      </c>
      <c r="D145">
        <v>970</v>
      </c>
      <c r="E145">
        <v>25</v>
      </c>
      <c r="F145">
        <v>19</v>
      </c>
      <c r="G145" t="s">
        <v>25</v>
      </c>
      <c r="H145">
        <v>71</v>
      </c>
      <c r="I145">
        <v>101</v>
      </c>
      <c r="J145">
        <v>19</v>
      </c>
      <c r="K145">
        <v>18</v>
      </c>
      <c r="L145" t="s">
        <v>99</v>
      </c>
      <c r="M145">
        <v>1020</v>
      </c>
      <c r="N145">
        <v>1938</v>
      </c>
      <c r="O145">
        <v>1020</v>
      </c>
      <c r="P145">
        <v>19</v>
      </c>
      <c r="Q145">
        <v>1</v>
      </c>
      <c r="R145">
        <v>7.5820020000000001</v>
      </c>
      <c r="S145" t="s">
        <v>28</v>
      </c>
      <c r="T145">
        <v>3.16526E-3</v>
      </c>
      <c r="U145">
        <v>7.5088710000000003E-3</v>
      </c>
      <c r="V145">
        <v>14</v>
      </c>
      <c r="W145">
        <v>48</v>
      </c>
      <c r="X145">
        <v>32</v>
      </c>
      <c r="Y145">
        <v>19</v>
      </c>
    </row>
  </sheetData>
  <mergeCells count="3">
    <mergeCell ref="AE1:AF1"/>
    <mergeCell ref="AG1:AH1"/>
    <mergeCell ref="AI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Sheet1!results_maxsat_ddd_vs_scl_finsteps123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2026-01-16T16:52:27Z</dcterms:created>
  <dcterms:modified xsi:type="dcterms:W3CDTF">2026-01-17T12:15:08Z</dcterms:modified>
</cp:coreProperties>
</file>