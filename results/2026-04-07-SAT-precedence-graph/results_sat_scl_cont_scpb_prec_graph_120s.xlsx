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ithub\maxsattrainscheduling\results\2026-04-07-SAT-precedence-graph\"/>
    </mc:Choice>
  </mc:AlternateContent>
  <bookViews>
    <workbookView xWindow="0" yWindow="0" windowWidth="10080" windowHeight="7515"/>
  </bookViews>
  <sheets>
    <sheet name="Sheet1" sheetId="1" r:id="rId1"/>
  </sheets>
  <definedNames>
    <definedName name="results_sat_scl_cont_scpb_prec_graph_120s" localSheetId="0">Sheet1!$A$1:$AB$73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E2" i="1" l="1"/>
  <c r="AF2" i="1"/>
  <c r="AD2" i="1"/>
</calcChain>
</file>

<file path=xl/connections.xml><?xml version="1.0" encoding="utf-8"?>
<connections xmlns="http://schemas.openxmlformats.org/spreadsheetml/2006/main">
  <connection id="1" name="results_sat_scl_cont_scpb_prec_graph_120s" type="6" refreshedVersion="5" background="1" saveData="1">
    <textPr codePage="437" sourceFile="D:\github\maxsattrainscheduling\results\2026-04-07-SAT-precedence-graph\raw_data\csv\results_sat_scl_cont_scpb_prec_graph_120s.csv" comma="1">
      <textFields count="28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<sst xmlns="http://schemas.openxmlformats.org/spreadsheetml/2006/main" count="321" uniqueCount="111">
  <si>
    <t>algorithm_time</t>
  </si>
  <si>
    <t>avg_time_points</t>
  </si>
  <si>
    <t>avg_tracks</t>
  </si>
  <si>
    <t>conflicting_visit_pairs</t>
  </si>
  <si>
    <t>conflicts</t>
  </si>
  <si>
    <t>cost</t>
  </si>
  <si>
    <t>delay_cost_type</t>
  </si>
  <si>
    <t>exit_code</t>
  </si>
  <si>
    <t>external_status</t>
  </si>
  <si>
    <t>index</t>
  </si>
  <si>
    <t>iterations</t>
  </si>
  <si>
    <t>lb</t>
  </si>
  <si>
    <t>max_time_points</t>
  </si>
  <si>
    <t>name</t>
  </si>
  <si>
    <t>num_conflicts</t>
  </si>
  <si>
    <t>num_time_points</t>
  </si>
  <si>
    <t>num_traveltime</t>
  </si>
  <si>
    <t>objective_iters</t>
  </si>
  <si>
    <t>resource_iters</t>
  </si>
  <si>
    <t>sol_time</t>
  </si>
  <si>
    <t>solver_name</t>
  </si>
  <si>
    <t>solver_time</t>
  </si>
  <si>
    <t>status</t>
  </si>
  <si>
    <t>total_time</t>
  </si>
  <si>
    <t>trains</t>
  </si>
  <si>
    <t>travel_and_resource_iters</t>
  </si>
  <si>
    <t>travel_iters</t>
  </si>
  <si>
    <t>ub</t>
  </si>
  <si>
    <t>Continuous</t>
  </si>
  <si>
    <t>origA1</t>
  </si>
  <si>
    <t>SatDddScl</t>
  </si>
  <si>
    <t>ok</t>
  </si>
  <si>
    <t>origA10</t>
  </si>
  <si>
    <t>origA11</t>
  </si>
  <si>
    <t>origA12</t>
  </si>
  <si>
    <t>origA2</t>
  </si>
  <si>
    <t>origA3</t>
  </si>
  <si>
    <t>origA4</t>
  </si>
  <si>
    <t>origA5</t>
  </si>
  <si>
    <t>origA6</t>
  </si>
  <si>
    <t>origA7</t>
  </si>
  <si>
    <t>origA8</t>
  </si>
  <si>
    <t>origA9</t>
  </si>
  <si>
    <t>cont</t>
  </si>
  <si>
    <t>aborted</t>
  </si>
  <si>
    <t>origB1</t>
  </si>
  <si>
    <t>sat_ddd_scl</t>
  </si>
  <si>
    <t>origB2</t>
  </si>
  <si>
    <t>origB3</t>
  </si>
  <si>
    <t>origB4</t>
  </si>
  <si>
    <t>origB5</t>
  </si>
  <si>
    <t>origB6</t>
  </si>
  <si>
    <t>origB7</t>
  </si>
  <si>
    <t>oom</t>
  </si>
  <si>
    <t>origB8</t>
  </si>
  <si>
    <t>origB9</t>
  </si>
  <si>
    <t>origB10</t>
  </si>
  <si>
    <t>origB11</t>
  </si>
  <si>
    <t>origB12</t>
  </si>
  <si>
    <t>trackA1</t>
  </si>
  <si>
    <t>trackA10</t>
  </si>
  <si>
    <t>trackA11</t>
  </si>
  <si>
    <t>trackA12</t>
  </si>
  <si>
    <t>trackA2</t>
  </si>
  <si>
    <t>trackA3</t>
  </si>
  <si>
    <t>trackA4</t>
  </si>
  <si>
    <t>trackA5</t>
  </si>
  <si>
    <t>trackA6</t>
  </si>
  <si>
    <t>trackA7</t>
  </si>
  <si>
    <t>trackA8</t>
  </si>
  <si>
    <t>trackA9</t>
  </si>
  <si>
    <t>trackB1</t>
  </si>
  <si>
    <t>trackB10</t>
  </si>
  <si>
    <t>trackB11</t>
  </si>
  <si>
    <t>trackB12</t>
  </si>
  <si>
    <t>trackB2</t>
  </si>
  <si>
    <t>trackB3</t>
  </si>
  <si>
    <t>trackB4</t>
  </si>
  <si>
    <t>trackB5</t>
  </si>
  <si>
    <t>trackB6</t>
  </si>
  <si>
    <t>trackB7</t>
  </si>
  <si>
    <t>trackB8</t>
  </si>
  <si>
    <t>trackB9</t>
  </si>
  <si>
    <t>stationA1</t>
  </si>
  <si>
    <t>stationA10</t>
  </si>
  <si>
    <t>stationA11</t>
  </si>
  <si>
    <t>stationA12</t>
  </si>
  <si>
    <t>stationA2</t>
  </si>
  <si>
    <t>timeout</t>
  </si>
  <si>
    <t>stationA3</t>
  </si>
  <si>
    <t>stationA4</t>
  </si>
  <si>
    <t>stationA5</t>
  </si>
  <si>
    <t>stationA6</t>
  </si>
  <si>
    <t>stationA7</t>
  </si>
  <si>
    <t>stationA8</t>
  </si>
  <si>
    <t>stationA9</t>
  </si>
  <si>
    <t>stationB1</t>
  </si>
  <si>
    <t>stationB10</t>
  </si>
  <si>
    <t>stationB11</t>
  </si>
  <si>
    <t>stationB12</t>
  </si>
  <si>
    <t>stationB2</t>
  </si>
  <si>
    <t>stationB3</t>
  </si>
  <si>
    <t>stationB4</t>
  </si>
  <si>
    <t>stationB5</t>
  </si>
  <si>
    <t>stationB6</t>
  </si>
  <si>
    <t>stationB7</t>
  </si>
  <si>
    <t>stationB8</t>
  </si>
  <si>
    <t>stationB9</t>
  </si>
  <si>
    <t>original average</t>
  </si>
  <si>
    <t>track average</t>
  </si>
  <si>
    <t>station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</si>
</sst>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results_sat_scl_cont_scpb_prec_graph_120s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73"/>
  <sheetViews>
    <sheetView tabSelected="1" topLeftCell="Q1" workbookViewId="0">
      <selection activeCell="AE46" sqref="AE46"/>
    </sheetView>
  </sheetViews>
  <sheetFormatPr defaultRowHeight="15" x14ac:dyDescent="0.25"/>
  <cols>
    <col min="1" max="1" width="14.85546875" bestFit="1" customWidth="1"/>
    <col min="2" max="2" width="15.85546875" bestFit="1" customWidth="1"/>
    <col min="3" max="3" width="12" bestFit="1" customWidth="1"/>
    <col min="4" max="4" width="20.5703125" bestFit="1" customWidth="1"/>
    <col min="5" max="5" width="8.42578125" bestFit="1" customWidth="1"/>
    <col min="6" max="6" width="6" bestFit="1" customWidth="1"/>
    <col min="7" max="7" width="15.5703125" bestFit="1" customWidth="1"/>
    <col min="8" max="8" width="9.7109375" bestFit="1" customWidth="1"/>
    <col min="9" max="9" width="14.85546875" bestFit="1" customWidth="1"/>
    <col min="10" max="10" width="6" bestFit="1" customWidth="1"/>
    <col min="11" max="11" width="9.5703125" bestFit="1" customWidth="1"/>
    <col min="12" max="12" width="6" bestFit="1" customWidth="1"/>
    <col min="13" max="13" width="16.5703125" bestFit="1" customWidth="1"/>
    <col min="14" max="14" width="10.42578125" bestFit="1" customWidth="1"/>
    <col min="15" max="15" width="13.5703125" bestFit="1" customWidth="1"/>
    <col min="16" max="16" width="16.85546875" bestFit="1" customWidth="1"/>
    <col min="17" max="17" width="15.42578125" bestFit="1" customWidth="1"/>
    <col min="18" max="18" width="14.42578125" bestFit="1" customWidth="1"/>
    <col min="19" max="19" width="13.85546875" bestFit="1" customWidth="1"/>
    <col min="20" max="20" width="12" bestFit="1" customWidth="1"/>
    <col min="21" max="21" width="12.42578125" bestFit="1" customWidth="1"/>
    <col min="22" max="22" width="12" bestFit="1" customWidth="1"/>
    <col min="23" max="23" width="8.140625" bestFit="1" customWidth="1"/>
    <col min="24" max="24" width="12" bestFit="1" customWidth="1"/>
    <col min="25" max="25" width="6" bestFit="1" customWidth="1"/>
    <col min="26" max="26" width="24.5703125" bestFit="1" customWidth="1"/>
    <col min="27" max="27" width="11.140625" bestFit="1" customWidth="1"/>
    <col min="28" max="28" width="6" bestFit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D1" s="1" t="s">
        <v>108</v>
      </c>
      <c r="AE1" s="1" t="s">
        <v>109</v>
      </c>
      <c r="AF1" s="1" t="s">
        <v>110</v>
      </c>
    </row>
    <row r="2" spans="1:32" x14ac:dyDescent="0.25">
      <c r="A2">
        <v>1.307564685</v>
      </c>
      <c r="B2">
        <v>1.55028157683024</v>
      </c>
      <c r="C2">
        <v>20.931034088134702</v>
      </c>
      <c r="D2">
        <v>5915</v>
      </c>
      <c r="E2">
        <v>33</v>
      </c>
      <c r="F2">
        <v>6771</v>
      </c>
      <c r="G2" t="s">
        <v>28</v>
      </c>
      <c r="J2">
        <v>0</v>
      </c>
      <c r="K2">
        <v>79</v>
      </c>
      <c r="L2">
        <v>6771</v>
      </c>
      <c r="M2">
        <v>9</v>
      </c>
      <c r="N2" t="s">
        <v>29</v>
      </c>
      <c r="O2">
        <v>51</v>
      </c>
      <c r="P2">
        <v>1927</v>
      </c>
      <c r="Q2">
        <v>572</v>
      </c>
      <c r="R2">
        <v>79</v>
      </c>
      <c r="S2">
        <v>2</v>
      </c>
      <c r="T2">
        <v>1906.955915</v>
      </c>
      <c r="U2" t="s">
        <v>30</v>
      </c>
      <c r="V2">
        <v>0.51409005399999996</v>
      </c>
      <c r="W2" t="s">
        <v>31</v>
      </c>
      <c r="X2">
        <v>1.8216540530000001</v>
      </c>
      <c r="Y2">
        <v>29</v>
      </c>
      <c r="Z2">
        <v>27</v>
      </c>
      <c r="AA2">
        <v>38</v>
      </c>
      <c r="AB2">
        <v>6771</v>
      </c>
      <c r="AD2" s="2">
        <f>AVERAGE(T2:T25)</f>
        <v>17211.81520579167</v>
      </c>
      <c r="AE2" s="2">
        <f>AVERAGE(T26:T49)</f>
        <v>22764.013083208338</v>
      </c>
      <c r="AF2" s="2">
        <f>AVERAGE(T50:T73)</f>
        <v>42734.622364833289</v>
      </c>
    </row>
    <row r="3" spans="1:32" x14ac:dyDescent="0.25">
      <c r="A3">
        <v>0.92669979999999896</v>
      </c>
      <c r="B3">
        <v>1.75487179487179</v>
      </c>
      <c r="C3">
        <v>19</v>
      </c>
      <c r="D3">
        <v>3735</v>
      </c>
      <c r="E3">
        <v>33</v>
      </c>
      <c r="F3">
        <v>5882</v>
      </c>
      <c r="G3" t="s">
        <v>28</v>
      </c>
      <c r="J3">
        <v>4</v>
      </c>
      <c r="K3">
        <v>51</v>
      </c>
      <c r="L3">
        <v>5882</v>
      </c>
      <c r="M3">
        <v>11</v>
      </c>
      <c r="N3" t="s">
        <v>35</v>
      </c>
      <c r="O3">
        <v>77</v>
      </c>
      <c r="P3">
        <v>1711</v>
      </c>
      <c r="Q3">
        <v>571</v>
      </c>
      <c r="R3">
        <v>51</v>
      </c>
      <c r="S3">
        <v>1</v>
      </c>
      <c r="T3">
        <v>1664.213127</v>
      </c>
      <c r="U3" t="s">
        <v>30</v>
      </c>
      <c r="V3">
        <v>0.61885378899999999</v>
      </c>
      <c r="W3" t="s">
        <v>31</v>
      </c>
      <c r="X3">
        <v>1.5455528249999999</v>
      </c>
      <c r="Y3">
        <v>25</v>
      </c>
      <c r="Z3">
        <v>30</v>
      </c>
      <c r="AA3">
        <v>8</v>
      </c>
      <c r="AB3">
        <v>5882</v>
      </c>
    </row>
    <row r="4" spans="1:32" x14ac:dyDescent="0.25">
      <c r="A4">
        <v>3.3797189999999998E-2</v>
      </c>
      <c r="B4">
        <v>1.3565573770491799</v>
      </c>
      <c r="C4">
        <v>22.375</v>
      </c>
      <c r="D4">
        <v>2061</v>
      </c>
      <c r="E4">
        <v>33</v>
      </c>
      <c r="F4">
        <v>1329</v>
      </c>
      <c r="G4" t="s">
        <v>28</v>
      </c>
      <c r="J4">
        <v>5</v>
      </c>
      <c r="K4">
        <v>40</v>
      </c>
      <c r="L4">
        <v>1329</v>
      </c>
      <c r="M4">
        <v>6</v>
      </c>
      <c r="N4" t="s">
        <v>36</v>
      </c>
      <c r="O4">
        <v>20</v>
      </c>
      <c r="P4">
        <v>993</v>
      </c>
      <c r="Q4">
        <v>207</v>
      </c>
      <c r="R4">
        <v>40</v>
      </c>
      <c r="S4">
        <v>1</v>
      </c>
      <c r="T4">
        <v>45.670549999999999</v>
      </c>
      <c r="U4" t="s">
        <v>30</v>
      </c>
      <c r="V4">
        <v>8.9401930000000008E-3</v>
      </c>
      <c r="W4" t="s">
        <v>31</v>
      </c>
      <c r="X4">
        <v>4.2736868999999997E-2</v>
      </c>
      <c r="Y4">
        <v>16</v>
      </c>
      <c r="Z4">
        <v>8</v>
      </c>
      <c r="AA4">
        <v>21</v>
      </c>
      <c r="AB4">
        <v>1329</v>
      </c>
    </row>
    <row r="5" spans="1:32" x14ac:dyDescent="0.25">
      <c r="A5">
        <v>0.103884855</v>
      </c>
      <c r="B5">
        <v>1.64673913043478</v>
      </c>
      <c r="C5">
        <v>19.214284896850501</v>
      </c>
      <c r="D5">
        <v>1175</v>
      </c>
      <c r="E5">
        <v>33</v>
      </c>
      <c r="F5">
        <v>2706</v>
      </c>
      <c r="G5" t="s">
        <v>28</v>
      </c>
      <c r="J5">
        <v>6</v>
      </c>
      <c r="K5">
        <v>51</v>
      </c>
      <c r="L5">
        <v>2706</v>
      </c>
      <c r="M5">
        <v>5</v>
      </c>
      <c r="N5" t="s">
        <v>37</v>
      </c>
      <c r="O5">
        <v>20</v>
      </c>
      <c r="P5">
        <v>909</v>
      </c>
      <c r="Q5">
        <v>303</v>
      </c>
      <c r="R5">
        <v>51</v>
      </c>
      <c r="S5">
        <v>1</v>
      </c>
      <c r="T5">
        <v>170.54965799999999</v>
      </c>
      <c r="U5" t="s">
        <v>30</v>
      </c>
      <c r="V5">
        <v>5.3892133000000002E-2</v>
      </c>
      <c r="W5" t="s">
        <v>31</v>
      </c>
      <c r="X5">
        <v>0.157776308</v>
      </c>
      <c r="Y5">
        <v>14</v>
      </c>
      <c r="Z5">
        <v>13</v>
      </c>
      <c r="AA5">
        <v>26</v>
      </c>
      <c r="AB5">
        <v>2706</v>
      </c>
    </row>
    <row r="6" spans="1:32" x14ac:dyDescent="0.25">
      <c r="A6">
        <v>0.11807609099999999</v>
      </c>
      <c r="B6">
        <v>1.70253164556962</v>
      </c>
      <c r="C6">
        <v>19.25</v>
      </c>
      <c r="D6">
        <v>876</v>
      </c>
      <c r="E6">
        <v>33</v>
      </c>
      <c r="F6">
        <v>2634</v>
      </c>
      <c r="G6" t="s">
        <v>28</v>
      </c>
      <c r="J6">
        <v>7</v>
      </c>
      <c r="K6">
        <v>60</v>
      </c>
      <c r="L6">
        <v>2634</v>
      </c>
      <c r="M6">
        <v>6</v>
      </c>
      <c r="N6" t="s">
        <v>38</v>
      </c>
      <c r="O6">
        <v>17</v>
      </c>
      <c r="P6">
        <v>807</v>
      </c>
      <c r="Q6">
        <v>289</v>
      </c>
      <c r="R6">
        <v>60</v>
      </c>
      <c r="S6">
        <v>1</v>
      </c>
      <c r="T6">
        <v>227.31553199999999</v>
      </c>
      <c r="U6" t="s">
        <v>30</v>
      </c>
      <c r="V6">
        <v>9.4209930999999997E-2</v>
      </c>
      <c r="W6" t="s">
        <v>31</v>
      </c>
      <c r="X6">
        <v>0.212285163</v>
      </c>
      <c r="Y6">
        <v>12</v>
      </c>
      <c r="Z6">
        <v>11</v>
      </c>
      <c r="AA6">
        <v>37</v>
      </c>
      <c r="AB6">
        <v>2634</v>
      </c>
    </row>
    <row r="7" spans="1:32" x14ac:dyDescent="0.25">
      <c r="A7">
        <v>7.4235582999999994E-2</v>
      </c>
      <c r="B7">
        <v>1.9117647058823499</v>
      </c>
      <c r="C7">
        <v>18.625</v>
      </c>
      <c r="D7">
        <v>307</v>
      </c>
      <c r="E7">
        <v>33</v>
      </c>
      <c r="F7">
        <v>2068</v>
      </c>
      <c r="G7" t="s">
        <v>28</v>
      </c>
      <c r="J7">
        <v>8</v>
      </c>
      <c r="K7">
        <v>87</v>
      </c>
      <c r="L7">
        <v>2068</v>
      </c>
      <c r="M7">
        <v>5</v>
      </c>
      <c r="N7" t="s">
        <v>39</v>
      </c>
      <c r="O7">
        <v>14</v>
      </c>
      <c r="P7">
        <v>585</v>
      </c>
      <c r="Q7">
        <v>241</v>
      </c>
      <c r="R7">
        <v>87</v>
      </c>
      <c r="S7">
        <v>1</v>
      </c>
      <c r="T7">
        <v>160.81830299999999</v>
      </c>
      <c r="U7" t="s">
        <v>30</v>
      </c>
      <c r="V7">
        <v>7.925053E-2</v>
      </c>
      <c r="W7" t="s">
        <v>31</v>
      </c>
      <c r="X7">
        <v>0.15348552800000001</v>
      </c>
      <c r="Y7">
        <v>8</v>
      </c>
      <c r="Z7">
        <v>9</v>
      </c>
      <c r="AA7">
        <v>67</v>
      </c>
      <c r="AB7">
        <v>2068</v>
      </c>
    </row>
    <row r="8" spans="1:32" x14ac:dyDescent="0.25">
      <c r="A8">
        <v>8.9159831999999994E-2</v>
      </c>
      <c r="B8">
        <v>2.71428571428571</v>
      </c>
      <c r="C8">
        <v>12.625</v>
      </c>
      <c r="D8">
        <v>126</v>
      </c>
      <c r="E8">
        <v>33</v>
      </c>
      <c r="F8">
        <v>1918</v>
      </c>
      <c r="G8" t="s">
        <v>28</v>
      </c>
      <c r="J8">
        <v>9</v>
      </c>
      <c r="K8">
        <v>85</v>
      </c>
      <c r="L8">
        <v>1918</v>
      </c>
      <c r="M8">
        <v>9</v>
      </c>
      <c r="N8" t="s">
        <v>40</v>
      </c>
      <c r="O8">
        <v>16</v>
      </c>
      <c r="P8">
        <v>570</v>
      </c>
      <c r="Q8">
        <v>310</v>
      </c>
      <c r="R8">
        <v>85</v>
      </c>
      <c r="S8">
        <v>1</v>
      </c>
      <c r="T8">
        <v>217.737697</v>
      </c>
      <c r="U8" t="s">
        <v>30</v>
      </c>
      <c r="V8">
        <v>0.118834386</v>
      </c>
      <c r="W8" t="s">
        <v>31</v>
      </c>
      <c r="X8">
        <v>0.207993397</v>
      </c>
      <c r="Y8">
        <v>8</v>
      </c>
      <c r="Z8">
        <v>10</v>
      </c>
      <c r="AA8">
        <v>64</v>
      </c>
      <c r="AB8">
        <v>1918</v>
      </c>
    </row>
    <row r="9" spans="1:32" x14ac:dyDescent="0.25">
      <c r="A9">
        <v>6.3839633409999896</v>
      </c>
      <c r="B9">
        <v>2.4528985507246301</v>
      </c>
      <c r="C9">
        <v>19.214284896850501</v>
      </c>
      <c r="D9">
        <v>4877</v>
      </c>
      <c r="E9">
        <v>33</v>
      </c>
      <c r="F9">
        <v>23648</v>
      </c>
      <c r="G9" t="s">
        <v>28</v>
      </c>
      <c r="J9">
        <v>10</v>
      </c>
      <c r="K9">
        <v>46</v>
      </c>
      <c r="L9">
        <v>23648</v>
      </c>
      <c r="M9">
        <v>14</v>
      </c>
      <c r="N9" t="s">
        <v>41</v>
      </c>
      <c r="O9">
        <v>232</v>
      </c>
      <c r="P9">
        <v>2708</v>
      </c>
      <c r="Q9">
        <v>1104</v>
      </c>
      <c r="R9">
        <v>46</v>
      </c>
      <c r="S9">
        <v>1</v>
      </c>
      <c r="T9">
        <v>10072.566322000001</v>
      </c>
      <c r="U9" t="s">
        <v>30</v>
      </c>
      <c r="V9">
        <v>2.8925599470000001</v>
      </c>
      <c r="W9" t="s">
        <v>31</v>
      </c>
      <c r="X9">
        <v>9.2765221550000003</v>
      </c>
      <c r="Y9">
        <v>28</v>
      </c>
      <c r="Z9">
        <v>31</v>
      </c>
      <c r="AA9">
        <v>0</v>
      </c>
      <c r="AB9">
        <v>23648</v>
      </c>
    </row>
    <row r="10" spans="1:32" x14ac:dyDescent="0.25">
      <c r="A10">
        <v>0.47858095299999998</v>
      </c>
      <c r="B10">
        <v>1.8600973236009699</v>
      </c>
      <c r="C10">
        <v>20.049999237060501</v>
      </c>
      <c r="D10">
        <v>2616</v>
      </c>
      <c r="E10">
        <v>33</v>
      </c>
      <c r="F10">
        <v>6574</v>
      </c>
      <c r="G10" t="s">
        <v>28</v>
      </c>
      <c r="J10">
        <v>11</v>
      </c>
      <c r="K10">
        <v>53</v>
      </c>
      <c r="L10">
        <v>6574</v>
      </c>
      <c r="M10">
        <v>12</v>
      </c>
      <c r="N10" t="s">
        <v>42</v>
      </c>
      <c r="O10">
        <v>81</v>
      </c>
      <c r="P10">
        <v>1529</v>
      </c>
      <c r="Q10">
        <v>538</v>
      </c>
      <c r="R10">
        <v>53</v>
      </c>
      <c r="S10">
        <v>1</v>
      </c>
      <c r="T10">
        <v>1057.8529269999999</v>
      </c>
      <c r="U10" t="s">
        <v>30</v>
      </c>
      <c r="V10">
        <v>0.51213325899999995</v>
      </c>
      <c r="W10" t="s">
        <v>31</v>
      </c>
      <c r="X10">
        <v>0.99071353500000003</v>
      </c>
      <c r="Y10">
        <v>20</v>
      </c>
      <c r="Z10">
        <v>30</v>
      </c>
      <c r="AA10">
        <v>10</v>
      </c>
      <c r="AB10">
        <v>6574</v>
      </c>
    </row>
    <row r="11" spans="1:32" x14ac:dyDescent="0.25">
      <c r="A11">
        <v>0.29393164599999999</v>
      </c>
      <c r="B11">
        <v>1.7385826771653501</v>
      </c>
      <c r="C11">
        <v>18.176469802856399</v>
      </c>
      <c r="D11">
        <v>1632</v>
      </c>
      <c r="E11">
        <v>33</v>
      </c>
      <c r="F11">
        <v>4746</v>
      </c>
      <c r="G11" t="s">
        <v>28</v>
      </c>
      <c r="J11">
        <v>12</v>
      </c>
      <c r="K11">
        <v>42</v>
      </c>
      <c r="L11">
        <v>4746</v>
      </c>
      <c r="M11">
        <v>9</v>
      </c>
      <c r="N11" t="s">
        <v>32</v>
      </c>
      <c r="O11">
        <v>39</v>
      </c>
      <c r="P11">
        <v>1104</v>
      </c>
      <c r="Q11">
        <v>377</v>
      </c>
      <c r="R11">
        <v>42</v>
      </c>
      <c r="S11">
        <v>1</v>
      </c>
      <c r="T11">
        <v>466.19664799999998</v>
      </c>
      <c r="U11" t="s">
        <v>30</v>
      </c>
      <c r="V11">
        <v>0.13339847699999999</v>
      </c>
      <c r="W11" t="s">
        <v>31</v>
      </c>
      <c r="X11">
        <v>0.42732763400000001</v>
      </c>
      <c r="Y11">
        <v>17</v>
      </c>
      <c r="Z11">
        <v>18</v>
      </c>
      <c r="AA11">
        <v>11</v>
      </c>
      <c r="AB11">
        <v>4746</v>
      </c>
    </row>
    <row r="12" spans="1:32" x14ac:dyDescent="0.25">
      <c r="A12">
        <v>0.28121123399999998</v>
      </c>
      <c r="B12">
        <v>1.8868852459016301</v>
      </c>
      <c r="C12">
        <v>19.8333339691162</v>
      </c>
      <c r="D12">
        <v>6162</v>
      </c>
      <c r="E12">
        <v>33</v>
      </c>
      <c r="F12">
        <v>5090</v>
      </c>
      <c r="G12" t="s">
        <v>28</v>
      </c>
      <c r="J12">
        <v>13</v>
      </c>
      <c r="K12">
        <v>53</v>
      </c>
      <c r="L12">
        <v>5090</v>
      </c>
      <c r="M12">
        <v>11</v>
      </c>
      <c r="N12" t="s">
        <v>33</v>
      </c>
      <c r="O12">
        <v>113</v>
      </c>
      <c r="P12">
        <v>2302</v>
      </c>
      <c r="Q12">
        <v>819</v>
      </c>
      <c r="R12">
        <v>53</v>
      </c>
      <c r="S12">
        <v>1</v>
      </c>
      <c r="T12">
        <v>425.23764299999999</v>
      </c>
      <c r="U12" t="s">
        <v>30</v>
      </c>
      <c r="V12">
        <v>0.107325822</v>
      </c>
      <c r="W12" t="s">
        <v>31</v>
      </c>
      <c r="X12">
        <v>0.38853593199999997</v>
      </c>
      <c r="Y12">
        <v>30</v>
      </c>
      <c r="Z12">
        <v>34</v>
      </c>
      <c r="AA12">
        <v>6</v>
      </c>
      <c r="AB12">
        <v>5090</v>
      </c>
    </row>
    <row r="13" spans="1:32" x14ac:dyDescent="0.25">
      <c r="A13">
        <v>0.65949352800000005</v>
      </c>
      <c r="B13">
        <v>1.9581993569131799</v>
      </c>
      <c r="C13">
        <v>21.714284896850501</v>
      </c>
      <c r="D13">
        <v>6393</v>
      </c>
      <c r="E13">
        <v>33</v>
      </c>
      <c r="F13">
        <v>4950</v>
      </c>
      <c r="G13" t="s">
        <v>28</v>
      </c>
      <c r="J13">
        <v>14</v>
      </c>
      <c r="K13">
        <v>56</v>
      </c>
      <c r="L13">
        <v>4950</v>
      </c>
      <c r="M13">
        <v>11</v>
      </c>
      <c r="N13" t="s">
        <v>34</v>
      </c>
      <c r="O13">
        <v>103</v>
      </c>
      <c r="P13">
        <v>2436</v>
      </c>
      <c r="Q13">
        <v>945</v>
      </c>
      <c r="R13">
        <v>56</v>
      </c>
      <c r="S13">
        <v>1</v>
      </c>
      <c r="T13">
        <v>1042.8179359999999</v>
      </c>
      <c r="U13" t="s">
        <v>30</v>
      </c>
      <c r="V13">
        <v>0.304967669</v>
      </c>
      <c r="W13" t="s">
        <v>31</v>
      </c>
      <c r="X13">
        <v>0.96446062099999996</v>
      </c>
      <c r="Y13">
        <v>28</v>
      </c>
      <c r="Z13">
        <v>36</v>
      </c>
      <c r="AA13">
        <v>7</v>
      </c>
      <c r="AB13">
        <v>4950</v>
      </c>
    </row>
    <row r="14" spans="1:32" x14ac:dyDescent="0.25">
      <c r="G14" t="s">
        <v>43</v>
      </c>
      <c r="H14">
        <v>134</v>
      </c>
      <c r="I14" t="s">
        <v>44</v>
      </c>
      <c r="J14">
        <v>15</v>
      </c>
      <c r="N14" t="s">
        <v>45</v>
      </c>
      <c r="T14">
        <v>130421</v>
      </c>
      <c r="U14" t="s">
        <v>46</v>
      </c>
      <c r="W14" t="s">
        <v>44</v>
      </c>
      <c r="X14">
        <v>130.42099999999999</v>
      </c>
    </row>
    <row r="15" spans="1:32" x14ac:dyDescent="0.25">
      <c r="A15">
        <v>1.4475355000000001E-2</v>
      </c>
      <c r="B15">
        <v>1.41830065359477</v>
      </c>
      <c r="C15">
        <v>14.800000190734799</v>
      </c>
      <c r="D15">
        <v>87</v>
      </c>
      <c r="E15">
        <v>25</v>
      </c>
      <c r="F15">
        <v>347</v>
      </c>
      <c r="G15" t="s">
        <v>28</v>
      </c>
      <c r="J15">
        <v>16</v>
      </c>
      <c r="K15">
        <v>55</v>
      </c>
      <c r="L15">
        <v>347</v>
      </c>
      <c r="M15">
        <v>3</v>
      </c>
      <c r="N15" t="s">
        <v>47</v>
      </c>
      <c r="O15">
        <v>2</v>
      </c>
      <c r="P15">
        <v>217</v>
      </c>
      <c r="Q15">
        <v>58</v>
      </c>
      <c r="R15">
        <v>55</v>
      </c>
      <c r="S15">
        <v>1</v>
      </c>
      <c r="T15">
        <v>20.232603000000001</v>
      </c>
      <c r="U15" t="s">
        <v>30</v>
      </c>
      <c r="V15">
        <v>5.2763250000000001E-3</v>
      </c>
      <c r="W15" t="s">
        <v>31</v>
      </c>
      <c r="X15">
        <v>1.9751059000000001E-2</v>
      </c>
      <c r="Y15">
        <v>5</v>
      </c>
      <c r="Z15">
        <v>1</v>
      </c>
      <c r="AA15">
        <v>45</v>
      </c>
      <c r="AB15">
        <v>347</v>
      </c>
    </row>
    <row r="16" spans="1:32" x14ac:dyDescent="0.25">
      <c r="A16">
        <v>2.0697733999999999E-2</v>
      </c>
      <c r="B16">
        <v>1.7398843930635799</v>
      </c>
      <c r="C16">
        <v>16.799999237060501</v>
      </c>
      <c r="D16">
        <v>136</v>
      </c>
      <c r="E16">
        <v>20</v>
      </c>
      <c r="F16">
        <v>629</v>
      </c>
      <c r="G16" t="s">
        <v>28</v>
      </c>
      <c r="J16">
        <v>17</v>
      </c>
      <c r="K16">
        <v>46</v>
      </c>
      <c r="L16">
        <v>629</v>
      </c>
      <c r="M16">
        <v>5</v>
      </c>
      <c r="N16" t="s">
        <v>48</v>
      </c>
      <c r="O16">
        <v>6</v>
      </c>
      <c r="P16">
        <v>301</v>
      </c>
      <c r="Q16">
        <v>110</v>
      </c>
      <c r="R16">
        <v>46</v>
      </c>
      <c r="S16">
        <v>1</v>
      </c>
      <c r="T16">
        <v>27.513141999999998</v>
      </c>
      <c r="U16" t="s">
        <v>30</v>
      </c>
      <c r="V16">
        <v>5.685631E-3</v>
      </c>
      <c r="W16" t="s">
        <v>31</v>
      </c>
      <c r="X16">
        <v>2.6382739999999998E-2</v>
      </c>
      <c r="Y16">
        <v>5</v>
      </c>
      <c r="Z16">
        <v>3</v>
      </c>
      <c r="AA16">
        <v>33</v>
      </c>
      <c r="AB16">
        <v>629</v>
      </c>
    </row>
    <row r="17" spans="1:28" x14ac:dyDescent="0.25">
      <c r="A17">
        <v>11.298822784</v>
      </c>
      <c r="B17">
        <v>2.0455927051671701</v>
      </c>
      <c r="C17">
        <v>15.949999809265099</v>
      </c>
      <c r="D17">
        <v>2246</v>
      </c>
      <c r="E17">
        <v>25</v>
      </c>
      <c r="F17">
        <v>53651</v>
      </c>
      <c r="G17" t="s">
        <v>28</v>
      </c>
      <c r="J17">
        <v>18</v>
      </c>
      <c r="K17">
        <v>50</v>
      </c>
      <c r="L17">
        <v>53651</v>
      </c>
      <c r="M17">
        <v>18</v>
      </c>
      <c r="N17" t="s">
        <v>49</v>
      </c>
      <c r="O17">
        <v>178</v>
      </c>
      <c r="P17">
        <v>1346</v>
      </c>
      <c r="Q17">
        <v>362</v>
      </c>
      <c r="R17">
        <v>50</v>
      </c>
      <c r="S17">
        <v>1</v>
      </c>
      <c r="T17">
        <v>24209.744282</v>
      </c>
      <c r="U17" t="s">
        <v>30</v>
      </c>
      <c r="V17">
        <v>11.305208198000001</v>
      </c>
      <c r="W17" t="s">
        <v>31</v>
      </c>
      <c r="X17">
        <v>22.604030093999999</v>
      </c>
      <c r="Y17">
        <v>20</v>
      </c>
      <c r="Z17">
        <v>32</v>
      </c>
      <c r="AA17">
        <v>2</v>
      </c>
      <c r="AB17">
        <v>53651</v>
      </c>
    </row>
    <row r="18" spans="1:28" x14ac:dyDescent="0.25">
      <c r="A18">
        <v>1.4390617E-2</v>
      </c>
      <c r="B18">
        <v>1.2841530054644801</v>
      </c>
      <c r="C18">
        <v>17.799999237060501</v>
      </c>
      <c r="D18">
        <v>136</v>
      </c>
      <c r="E18">
        <v>25</v>
      </c>
      <c r="F18">
        <v>288</v>
      </c>
      <c r="G18" t="s">
        <v>28</v>
      </c>
      <c r="J18">
        <v>19</v>
      </c>
      <c r="K18">
        <v>46</v>
      </c>
      <c r="L18">
        <v>288</v>
      </c>
      <c r="M18">
        <v>3</v>
      </c>
      <c r="N18" t="s">
        <v>50</v>
      </c>
      <c r="O18">
        <v>2</v>
      </c>
      <c r="P18">
        <v>235</v>
      </c>
      <c r="Q18">
        <v>46</v>
      </c>
      <c r="R18">
        <v>46</v>
      </c>
      <c r="S18">
        <v>1</v>
      </c>
      <c r="T18">
        <v>17.991344000000002</v>
      </c>
      <c r="U18" t="s">
        <v>30</v>
      </c>
      <c r="V18">
        <v>3.0694390000000002E-3</v>
      </c>
      <c r="W18" t="s">
        <v>31</v>
      </c>
      <c r="X18">
        <v>1.7459413E-2</v>
      </c>
      <c r="Y18">
        <v>5</v>
      </c>
      <c r="Z18">
        <v>1</v>
      </c>
      <c r="AA18">
        <v>36</v>
      </c>
      <c r="AB18">
        <v>288</v>
      </c>
    </row>
    <row r="19" spans="1:28" x14ac:dyDescent="0.25">
      <c r="A19">
        <v>1.3316639999999999E-2</v>
      </c>
      <c r="B19">
        <v>1.31847133757961</v>
      </c>
      <c r="C19">
        <v>15.199999809265099</v>
      </c>
      <c r="D19">
        <v>93</v>
      </c>
      <c r="E19">
        <v>25</v>
      </c>
      <c r="F19">
        <v>176</v>
      </c>
      <c r="G19" t="s">
        <v>28</v>
      </c>
      <c r="J19">
        <v>20</v>
      </c>
      <c r="K19">
        <v>44</v>
      </c>
      <c r="L19">
        <v>176</v>
      </c>
      <c r="M19">
        <v>3</v>
      </c>
      <c r="N19" t="s">
        <v>51</v>
      </c>
      <c r="O19">
        <v>2</v>
      </c>
      <c r="P19">
        <v>207</v>
      </c>
      <c r="Q19">
        <v>44</v>
      </c>
      <c r="R19">
        <v>44</v>
      </c>
      <c r="S19">
        <v>1</v>
      </c>
      <c r="T19">
        <v>16.367709000000001</v>
      </c>
      <c r="U19" t="s">
        <v>30</v>
      </c>
      <c r="V19">
        <v>2.6453050000000001E-3</v>
      </c>
      <c r="W19" t="s">
        <v>31</v>
      </c>
      <c r="X19">
        <v>1.5961375E-2</v>
      </c>
      <c r="Y19">
        <v>5</v>
      </c>
      <c r="Z19">
        <v>1</v>
      </c>
      <c r="AA19">
        <v>35</v>
      </c>
      <c r="AB19">
        <v>176</v>
      </c>
    </row>
    <row r="20" spans="1:28" x14ac:dyDescent="0.25">
      <c r="C20">
        <v>15.25</v>
      </c>
      <c r="D20">
        <v>2865</v>
      </c>
      <c r="E20">
        <v>25</v>
      </c>
      <c r="G20" t="s">
        <v>28</v>
      </c>
      <c r="J20">
        <v>21</v>
      </c>
      <c r="N20" t="s">
        <v>52</v>
      </c>
      <c r="T20">
        <v>120000</v>
      </c>
      <c r="U20" t="s">
        <v>30</v>
      </c>
      <c r="W20" t="s">
        <v>53</v>
      </c>
      <c r="Y20">
        <v>24</v>
      </c>
    </row>
    <row r="21" spans="1:28" x14ac:dyDescent="0.25">
      <c r="A21">
        <v>1.8407750000000001E-2</v>
      </c>
      <c r="B21">
        <v>1.2877697841726601</v>
      </c>
      <c r="C21">
        <v>13.399999618530201</v>
      </c>
      <c r="D21">
        <v>72</v>
      </c>
      <c r="E21">
        <v>25</v>
      </c>
      <c r="F21">
        <v>676</v>
      </c>
      <c r="G21" t="s">
        <v>28</v>
      </c>
      <c r="J21">
        <v>22</v>
      </c>
      <c r="K21">
        <v>46</v>
      </c>
      <c r="L21">
        <v>676</v>
      </c>
      <c r="M21">
        <v>2</v>
      </c>
      <c r="N21" t="s">
        <v>54</v>
      </c>
      <c r="O21">
        <v>1</v>
      </c>
      <c r="P21">
        <v>179</v>
      </c>
      <c r="Q21">
        <v>36</v>
      </c>
      <c r="R21">
        <v>46</v>
      </c>
      <c r="S21">
        <v>1</v>
      </c>
      <c r="T21">
        <v>27.261092000000001</v>
      </c>
      <c r="U21" t="s">
        <v>30</v>
      </c>
      <c r="V21">
        <v>7.7429810000000003E-3</v>
      </c>
      <c r="W21" t="s">
        <v>31</v>
      </c>
      <c r="X21">
        <v>2.6150093999999999E-2</v>
      </c>
      <c r="Y21">
        <v>5</v>
      </c>
      <c r="Z21">
        <v>0</v>
      </c>
      <c r="AA21">
        <v>36</v>
      </c>
      <c r="AB21">
        <v>676</v>
      </c>
    </row>
    <row r="22" spans="1:28" x14ac:dyDescent="0.25">
      <c r="A22">
        <v>0.30991743799999999</v>
      </c>
      <c r="B22">
        <v>3.07106598984771</v>
      </c>
      <c r="C22">
        <v>13.571428298950099</v>
      </c>
      <c r="D22">
        <v>150</v>
      </c>
      <c r="E22">
        <v>25</v>
      </c>
      <c r="F22">
        <v>5969</v>
      </c>
      <c r="G22" t="s">
        <v>28</v>
      </c>
      <c r="J22">
        <v>23</v>
      </c>
      <c r="K22">
        <v>46</v>
      </c>
      <c r="L22">
        <v>5969</v>
      </c>
      <c r="M22">
        <v>12</v>
      </c>
      <c r="N22" t="s">
        <v>55</v>
      </c>
      <c r="O22">
        <v>33</v>
      </c>
      <c r="P22">
        <v>605</v>
      </c>
      <c r="Q22">
        <v>330</v>
      </c>
      <c r="R22">
        <v>46</v>
      </c>
      <c r="S22">
        <v>1</v>
      </c>
      <c r="T22">
        <v>435.26378599999998</v>
      </c>
      <c r="U22" t="s">
        <v>30</v>
      </c>
      <c r="V22">
        <v>8.7330021999999993E-2</v>
      </c>
      <c r="W22" t="s">
        <v>31</v>
      </c>
      <c r="X22">
        <v>0.397246928</v>
      </c>
      <c r="Y22">
        <v>7</v>
      </c>
      <c r="Z22">
        <v>19</v>
      </c>
      <c r="AA22">
        <v>14</v>
      </c>
      <c r="AB22">
        <v>5969</v>
      </c>
    </row>
    <row r="23" spans="1:28" x14ac:dyDescent="0.25">
      <c r="A23">
        <v>0.248645801999999</v>
      </c>
      <c r="B23">
        <v>2.77368421052631</v>
      </c>
      <c r="C23">
        <v>11.375</v>
      </c>
      <c r="D23">
        <v>130</v>
      </c>
      <c r="E23">
        <v>25</v>
      </c>
      <c r="F23">
        <v>5747</v>
      </c>
      <c r="G23" t="s">
        <v>28</v>
      </c>
      <c r="J23">
        <v>24</v>
      </c>
      <c r="K23">
        <v>50</v>
      </c>
      <c r="L23">
        <v>5747</v>
      </c>
      <c r="M23">
        <v>9</v>
      </c>
      <c r="N23" t="s">
        <v>56</v>
      </c>
      <c r="O23">
        <v>22</v>
      </c>
      <c r="P23">
        <v>527</v>
      </c>
      <c r="Q23">
        <v>279</v>
      </c>
      <c r="R23">
        <v>50</v>
      </c>
      <c r="S23">
        <v>1</v>
      </c>
      <c r="T23">
        <v>415.19091300000002</v>
      </c>
      <c r="U23" t="s">
        <v>30</v>
      </c>
      <c r="V23">
        <v>0.13424014400000001</v>
      </c>
      <c r="W23" t="s">
        <v>31</v>
      </c>
      <c r="X23">
        <v>0.38288530599999998</v>
      </c>
      <c r="Y23">
        <v>8</v>
      </c>
      <c r="Z23">
        <v>14</v>
      </c>
      <c r="AA23">
        <v>23</v>
      </c>
      <c r="AB23">
        <v>5747</v>
      </c>
    </row>
    <row r="24" spans="1:28" x14ac:dyDescent="0.25">
      <c r="C24">
        <v>15.399999618530201</v>
      </c>
      <c r="D24">
        <v>3202</v>
      </c>
      <c r="E24">
        <v>25</v>
      </c>
      <c r="G24" t="s">
        <v>28</v>
      </c>
      <c r="J24">
        <v>25</v>
      </c>
      <c r="N24" t="s">
        <v>57</v>
      </c>
      <c r="T24">
        <v>120000</v>
      </c>
      <c r="U24" t="s">
        <v>30</v>
      </c>
      <c r="W24" t="s">
        <v>53</v>
      </c>
      <c r="Y24">
        <v>25</v>
      </c>
    </row>
    <row r="25" spans="1:28" x14ac:dyDescent="0.25">
      <c r="A25">
        <v>2.6508261999999901E-2</v>
      </c>
      <c r="B25">
        <v>1.3653846153846101</v>
      </c>
      <c r="C25">
        <v>16.214284896850501</v>
      </c>
      <c r="D25">
        <v>970</v>
      </c>
      <c r="E25">
        <v>25</v>
      </c>
      <c r="F25">
        <v>918</v>
      </c>
      <c r="G25" t="s">
        <v>28</v>
      </c>
      <c r="J25">
        <v>26</v>
      </c>
      <c r="K25">
        <v>42</v>
      </c>
      <c r="L25">
        <v>918</v>
      </c>
      <c r="M25">
        <v>6</v>
      </c>
      <c r="N25" t="s">
        <v>58</v>
      </c>
      <c r="O25">
        <v>16</v>
      </c>
      <c r="P25">
        <v>639</v>
      </c>
      <c r="Q25">
        <v>137</v>
      </c>
      <c r="R25">
        <v>42</v>
      </c>
      <c r="S25">
        <v>1</v>
      </c>
      <c r="T25">
        <v>35.067810000000001</v>
      </c>
      <c r="U25" t="s">
        <v>30</v>
      </c>
      <c r="V25">
        <v>6.8817180000000002E-3</v>
      </c>
      <c r="W25" t="s">
        <v>31</v>
      </c>
      <c r="X25">
        <v>3.3389167999999997E-2</v>
      </c>
      <c r="Y25">
        <v>14</v>
      </c>
      <c r="Z25">
        <v>11</v>
      </c>
      <c r="AA25">
        <v>21</v>
      </c>
      <c r="AB25">
        <v>918</v>
      </c>
    </row>
    <row r="26" spans="1:28" x14ac:dyDescent="0.25">
      <c r="A26">
        <v>2.3472865479999898</v>
      </c>
      <c r="B26">
        <v>2.57602574416733</v>
      </c>
      <c r="C26">
        <v>20.931034088134702</v>
      </c>
      <c r="D26">
        <v>5915</v>
      </c>
      <c r="E26">
        <v>33</v>
      </c>
      <c r="F26">
        <v>10105</v>
      </c>
      <c r="G26" t="s">
        <v>28</v>
      </c>
      <c r="J26">
        <v>27</v>
      </c>
      <c r="K26">
        <v>39</v>
      </c>
      <c r="L26">
        <v>10105</v>
      </c>
      <c r="M26">
        <v>8</v>
      </c>
      <c r="N26" t="s">
        <v>59</v>
      </c>
      <c r="O26">
        <v>207</v>
      </c>
      <c r="P26">
        <v>3202</v>
      </c>
      <c r="Q26">
        <v>1376</v>
      </c>
      <c r="R26">
        <v>39</v>
      </c>
      <c r="S26">
        <v>1</v>
      </c>
      <c r="T26">
        <v>3648.9664379999999</v>
      </c>
      <c r="U26" t="s">
        <v>30</v>
      </c>
      <c r="V26">
        <v>0.97513423700000001</v>
      </c>
      <c r="W26" t="s">
        <v>31</v>
      </c>
      <c r="X26">
        <v>3.3224200559999999</v>
      </c>
      <c r="Y26">
        <v>29</v>
      </c>
      <c r="Z26">
        <v>25</v>
      </c>
      <c r="AA26">
        <v>0</v>
      </c>
      <c r="AB26">
        <v>10105</v>
      </c>
    </row>
    <row r="27" spans="1:28" x14ac:dyDescent="0.25">
      <c r="A27">
        <v>5.1481588399999998</v>
      </c>
      <c r="B27">
        <v>3.77025641025641</v>
      </c>
      <c r="C27">
        <v>19</v>
      </c>
      <c r="D27">
        <v>3735</v>
      </c>
      <c r="E27">
        <v>33</v>
      </c>
      <c r="F27">
        <v>7912</v>
      </c>
      <c r="G27" t="s">
        <v>28</v>
      </c>
      <c r="J27">
        <v>31</v>
      </c>
      <c r="K27">
        <v>55</v>
      </c>
      <c r="L27">
        <v>7912</v>
      </c>
      <c r="M27">
        <v>22</v>
      </c>
      <c r="N27" t="s">
        <v>63</v>
      </c>
      <c r="O27">
        <v>389</v>
      </c>
      <c r="P27">
        <v>3676</v>
      </c>
      <c r="Q27">
        <v>1874</v>
      </c>
      <c r="R27">
        <v>55</v>
      </c>
      <c r="S27">
        <v>1</v>
      </c>
      <c r="T27">
        <v>12288.542197999999</v>
      </c>
      <c r="U27" t="s">
        <v>30</v>
      </c>
      <c r="V27">
        <v>6.5093775919999999</v>
      </c>
      <c r="W27" t="s">
        <v>31</v>
      </c>
      <c r="X27">
        <v>11.657535348</v>
      </c>
      <c r="Y27">
        <v>25</v>
      </c>
      <c r="Z27">
        <v>42</v>
      </c>
      <c r="AA27">
        <v>0</v>
      </c>
      <c r="AB27">
        <v>7912</v>
      </c>
    </row>
    <row r="28" spans="1:28" x14ac:dyDescent="0.25">
      <c r="A28">
        <v>0.43641532300000002</v>
      </c>
      <c r="B28">
        <v>3.40300546448087</v>
      </c>
      <c r="C28">
        <v>22.375</v>
      </c>
      <c r="D28">
        <v>2061</v>
      </c>
      <c r="E28">
        <v>33</v>
      </c>
      <c r="F28">
        <v>2148</v>
      </c>
      <c r="G28" t="s">
        <v>28</v>
      </c>
      <c r="J28">
        <v>32</v>
      </c>
      <c r="K28">
        <v>54</v>
      </c>
      <c r="L28">
        <v>2148</v>
      </c>
      <c r="M28">
        <v>12</v>
      </c>
      <c r="N28" t="s">
        <v>64</v>
      </c>
      <c r="O28">
        <v>166</v>
      </c>
      <c r="P28">
        <v>2491</v>
      </c>
      <c r="Q28">
        <v>1342</v>
      </c>
      <c r="R28">
        <v>54</v>
      </c>
      <c r="S28">
        <v>1</v>
      </c>
      <c r="T28">
        <v>893.66502400000002</v>
      </c>
      <c r="U28" t="s">
        <v>30</v>
      </c>
      <c r="V28">
        <v>0.40311940299999999</v>
      </c>
      <c r="W28" t="s">
        <v>31</v>
      </c>
      <c r="X28">
        <v>0.83953392800000004</v>
      </c>
      <c r="Y28">
        <v>16</v>
      </c>
      <c r="Z28">
        <v>38</v>
      </c>
      <c r="AA28">
        <v>4</v>
      </c>
      <c r="AB28">
        <v>2148</v>
      </c>
    </row>
    <row r="29" spans="1:28" x14ac:dyDescent="0.25">
      <c r="A29">
        <v>0.175202844</v>
      </c>
      <c r="B29">
        <v>2.5815217391304301</v>
      </c>
      <c r="C29">
        <v>19.214284896850501</v>
      </c>
      <c r="D29">
        <v>1175</v>
      </c>
      <c r="E29">
        <v>33</v>
      </c>
      <c r="F29">
        <v>2103</v>
      </c>
      <c r="G29" t="s">
        <v>28</v>
      </c>
      <c r="J29">
        <v>33</v>
      </c>
      <c r="K29">
        <v>53</v>
      </c>
      <c r="L29">
        <v>2103</v>
      </c>
      <c r="M29">
        <v>10</v>
      </c>
      <c r="N29" t="s">
        <v>65</v>
      </c>
      <c r="O29">
        <v>76</v>
      </c>
      <c r="P29">
        <v>1425</v>
      </c>
      <c r="Q29">
        <v>684</v>
      </c>
      <c r="R29">
        <v>53</v>
      </c>
      <c r="S29">
        <v>1</v>
      </c>
      <c r="T29">
        <v>332.49845599999998</v>
      </c>
      <c r="U29" t="s">
        <v>30</v>
      </c>
      <c r="V29">
        <v>0.13251312000000001</v>
      </c>
      <c r="W29" t="s">
        <v>31</v>
      </c>
      <c r="X29">
        <v>0.30771527799999998</v>
      </c>
      <c r="Y29">
        <v>14</v>
      </c>
      <c r="Z29">
        <v>32</v>
      </c>
      <c r="AA29">
        <v>9</v>
      </c>
      <c r="AB29">
        <v>2103</v>
      </c>
    </row>
    <row r="30" spans="1:28" x14ac:dyDescent="0.25">
      <c r="A30">
        <v>0.29410331000000001</v>
      </c>
      <c r="B30">
        <v>2.1518987341772098</v>
      </c>
      <c r="C30">
        <v>19.25</v>
      </c>
      <c r="D30">
        <v>876</v>
      </c>
      <c r="E30">
        <v>33</v>
      </c>
      <c r="F30">
        <v>2773</v>
      </c>
      <c r="G30" t="s">
        <v>28</v>
      </c>
      <c r="J30">
        <v>34</v>
      </c>
      <c r="K30">
        <v>53</v>
      </c>
      <c r="L30">
        <v>2773</v>
      </c>
      <c r="M30">
        <v>13</v>
      </c>
      <c r="N30" t="s">
        <v>66</v>
      </c>
      <c r="O30">
        <v>53</v>
      </c>
      <c r="P30">
        <v>1020</v>
      </c>
      <c r="Q30">
        <v>408</v>
      </c>
      <c r="R30">
        <v>53</v>
      </c>
      <c r="S30">
        <v>1</v>
      </c>
      <c r="T30">
        <v>549.59697700000004</v>
      </c>
      <c r="U30" t="s">
        <v>30</v>
      </c>
      <c r="V30">
        <v>0.21302591500000001</v>
      </c>
      <c r="W30" t="s">
        <v>31</v>
      </c>
      <c r="X30">
        <v>0.50712830900000005</v>
      </c>
      <c r="Y30">
        <v>12</v>
      </c>
      <c r="Z30">
        <v>27</v>
      </c>
      <c r="AA30">
        <v>14</v>
      </c>
      <c r="AB30">
        <v>2773</v>
      </c>
    </row>
    <row r="31" spans="1:28" x14ac:dyDescent="0.25">
      <c r="A31">
        <v>8.16187619999999E-2</v>
      </c>
      <c r="B31">
        <v>2.2647058823529398</v>
      </c>
      <c r="C31">
        <v>18.625</v>
      </c>
      <c r="D31">
        <v>307</v>
      </c>
      <c r="E31">
        <v>33</v>
      </c>
      <c r="F31">
        <v>1760</v>
      </c>
      <c r="G31" t="s">
        <v>28</v>
      </c>
      <c r="J31">
        <v>35</v>
      </c>
      <c r="K31">
        <v>60</v>
      </c>
      <c r="L31">
        <v>1760</v>
      </c>
      <c r="M31">
        <v>8</v>
      </c>
      <c r="N31" t="s">
        <v>67</v>
      </c>
      <c r="O31">
        <v>26</v>
      </c>
      <c r="P31">
        <v>693</v>
      </c>
      <c r="Q31">
        <v>329</v>
      </c>
      <c r="R31">
        <v>60</v>
      </c>
      <c r="S31">
        <v>1</v>
      </c>
      <c r="T31">
        <v>131.305418</v>
      </c>
      <c r="U31" t="s">
        <v>30</v>
      </c>
      <c r="V31">
        <v>4.1211556000000003E-2</v>
      </c>
      <c r="W31" t="s">
        <v>31</v>
      </c>
      <c r="X31">
        <v>0.122829784</v>
      </c>
      <c r="Y31">
        <v>8</v>
      </c>
      <c r="Z31">
        <v>18</v>
      </c>
      <c r="AA31">
        <v>31</v>
      </c>
      <c r="AB31">
        <v>1760</v>
      </c>
    </row>
    <row r="32" spans="1:28" x14ac:dyDescent="0.25">
      <c r="A32">
        <v>6.0527226000000003E-2</v>
      </c>
      <c r="B32">
        <v>2.41904761904761</v>
      </c>
      <c r="C32">
        <v>12.625</v>
      </c>
      <c r="D32">
        <v>126</v>
      </c>
      <c r="E32">
        <v>33</v>
      </c>
      <c r="F32">
        <v>1393</v>
      </c>
      <c r="G32" t="s">
        <v>28</v>
      </c>
      <c r="J32">
        <v>36</v>
      </c>
      <c r="K32">
        <v>58</v>
      </c>
      <c r="L32">
        <v>1393</v>
      </c>
      <c r="M32">
        <v>7</v>
      </c>
      <c r="N32" t="s">
        <v>68</v>
      </c>
      <c r="O32">
        <v>21</v>
      </c>
      <c r="P32">
        <v>508</v>
      </c>
      <c r="Q32">
        <v>235</v>
      </c>
      <c r="R32">
        <v>58</v>
      </c>
      <c r="S32">
        <v>1</v>
      </c>
      <c r="T32">
        <v>104.53864799999999</v>
      </c>
      <c r="U32" t="s">
        <v>30</v>
      </c>
      <c r="V32">
        <v>3.7803374000000001E-2</v>
      </c>
      <c r="W32" t="s">
        <v>31</v>
      </c>
      <c r="X32">
        <v>9.8330035999999996E-2</v>
      </c>
      <c r="Y32">
        <v>8</v>
      </c>
      <c r="Z32">
        <v>13</v>
      </c>
      <c r="AA32">
        <v>34</v>
      </c>
      <c r="AB32">
        <v>1393</v>
      </c>
    </row>
    <row r="33" spans="1:28" x14ac:dyDescent="0.25">
      <c r="C33">
        <v>19.888889312744102</v>
      </c>
      <c r="D33">
        <v>4862</v>
      </c>
      <c r="E33">
        <v>33</v>
      </c>
      <c r="G33" t="s">
        <v>28</v>
      </c>
      <c r="J33">
        <v>37</v>
      </c>
      <c r="N33" t="s">
        <v>69</v>
      </c>
      <c r="T33">
        <v>120000</v>
      </c>
      <c r="U33" t="s">
        <v>30</v>
      </c>
      <c r="W33" t="s">
        <v>53</v>
      </c>
      <c r="Y33">
        <v>27</v>
      </c>
    </row>
    <row r="34" spans="1:28" x14ac:dyDescent="0.25">
      <c r="A34">
        <v>4.0131877249999999</v>
      </c>
      <c r="B34">
        <v>3.95377128953771</v>
      </c>
      <c r="C34">
        <v>20.049999237060501</v>
      </c>
      <c r="D34">
        <v>2616</v>
      </c>
      <c r="E34">
        <v>33</v>
      </c>
      <c r="F34">
        <v>6955</v>
      </c>
      <c r="G34" t="s">
        <v>28</v>
      </c>
      <c r="J34">
        <v>38</v>
      </c>
      <c r="K34">
        <v>60</v>
      </c>
      <c r="L34">
        <v>6955</v>
      </c>
      <c r="M34">
        <v>20</v>
      </c>
      <c r="N34" t="s">
        <v>70</v>
      </c>
      <c r="O34">
        <v>294</v>
      </c>
      <c r="P34">
        <v>3250</v>
      </c>
      <c r="Q34">
        <v>1778</v>
      </c>
      <c r="R34">
        <v>60</v>
      </c>
      <c r="S34">
        <v>1</v>
      </c>
      <c r="T34">
        <v>10060.185450000001</v>
      </c>
      <c r="U34" t="s">
        <v>30</v>
      </c>
      <c r="V34">
        <v>5.4975031659999898</v>
      </c>
      <c r="W34" t="s">
        <v>31</v>
      </c>
      <c r="X34">
        <v>9.5106900969999995</v>
      </c>
      <c r="Y34">
        <v>20</v>
      </c>
      <c r="Z34">
        <v>47</v>
      </c>
      <c r="AA34">
        <v>0</v>
      </c>
      <c r="AB34">
        <v>6955</v>
      </c>
    </row>
    <row r="35" spans="1:28" x14ac:dyDescent="0.25">
      <c r="A35">
        <v>0.74423506399999995</v>
      </c>
      <c r="B35">
        <v>2.5905511811023598</v>
      </c>
      <c r="C35">
        <v>18.176469802856399</v>
      </c>
      <c r="D35">
        <v>1632</v>
      </c>
      <c r="E35">
        <v>33</v>
      </c>
      <c r="F35">
        <v>4812</v>
      </c>
      <c r="G35" t="s">
        <v>28</v>
      </c>
      <c r="J35">
        <v>39</v>
      </c>
      <c r="K35">
        <v>53</v>
      </c>
      <c r="L35">
        <v>4812</v>
      </c>
      <c r="M35">
        <v>13</v>
      </c>
      <c r="N35" t="s">
        <v>60</v>
      </c>
      <c r="O35">
        <v>117</v>
      </c>
      <c r="P35">
        <v>1645</v>
      </c>
      <c r="Q35">
        <v>740</v>
      </c>
      <c r="R35">
        <v>53</v>
      </c>
      <c r="S35">
        <v>1</v>
      </c>
      <c r="T35">
        <v>1281.0174469999999</v>
      </c>
      <c r="U35" t="s">
        <v>30</v>
      </c>
      <c r="V35">
        <v>0.44764393299999999</v>
      </c>
      <c r="W35" t="s">
        <v>31</v>
      </c>
      <c r="X35">
        <v>1.191878115</v>
      </c>
      <c r="Y35">
        <v>17</v>
      </c>
      <c r="Z35">
        <v>35</v>
      </c>
      <c r="AA35">
        <v>5</v>
      </c>
      <c r="AB35">
        <v>4812</v>
      </c>
    </row>
    <row r="36" spans="1:28" x14ac:dyDescent="0.25">
      <c r="C36">
        <v>20.482759475708001</v>
      </c>
      <c r="D36">
        <v>6144</v>
      </c>
      <c r="E36">
        <v>33</v>
      </c>
      <c r="G36" t="s">
        <v>28</v>
      </c>
      <c r="J36">
        <v>40</v>
      </c>
      <c r="N36" t="s">
        <v>61</v>
      </c>
      <c r="T36">
        <v>120000</v>
      </c>
      <c r="U36" t="s">
        <v>30</v>
      </c>
      <c r="W36" t="s">
        <v>53</v>
      </c>
      <c r="Y36">
        <v>29</v>
      </c>
    </row>
    <row r="37" spans="1:28" x14ac:dyDescent="0.25">
      <c r="C37">
        <v>21.714284896850501</v>
      </c>
      <c r="D37">
        <v>6393</v>
      </c>
      <c r="E37">
        <v>33</v>
      </c>
      <c r="G37" t="s">
        <v>28</v>
      </c>
      <c r="J37">
        <v>41</v>
      </c>
      <c r="N37" t="s">
        <v>62</v>
      </c>
      <c r="T37">
        <v>120000</v>
      </c>
      <c r="U37" t="s">
        <v>30</v>
      </c>
      <c r="W37" t="s">
        <v>53</v>
      </c>
      <c r="Y37">
        <v>28</v>
      </c>
    </row>
    <row r="38" spans="1:28" x14ac:dyDescent="0.25">
      <c r="A38">
        <v>7.6630485999999998E-2</v>
      </c>
      <c r="B38">
        <v>1.88629283489096</v>
      </c>
      <c r="C38">
        <v>17.3333339691162</v>
      </c>
      <c r="D38">
        <v>2022</v>
      </c>
      <c r="E38">
        <v>25</v>
      </c>
      <c r="F38">
        <v>1507</v>
      </c>
      <c r="G38" t="s">
        <v>28</v>
      </c>
      <c r="J38">
        <v>42</v>
      </c>
      <c r="K38">
        <v>38</v>
      </c>
      <c r="L38">
        <v>1507</v>
      </c>
      <c r="M38">
        <v>7</v>
      </c>
      <c r="N38" t="s">
        <v>71</v>
      </c>
      <c r="O38">
        <v>54</v>
      </c>
      <c r="P38">
        <v>1211</v>
      </c>
      <c r="Q38">
        <v>413</v>
      </c>
      <c r="R38">
        <v>38</v>
      </c>
      <c r="S38">
        <v>1</v>
      </c>
      <c r="T38">
        <v>111.47314799999999</v>
      </c>
      <c r="U38" t="s">
        <v>30</v>
      </c>
      <c r="V38">
        <v>2.6288901E-2</v>
      </c>
      <c r="W38" t="s">
        <v>31</v>
      </c>
      <c r="X38">
        <v>0.102918706</v>
      </c>
      <c r="Y38">
        <v>18</v>
      </c>
      <c r="Z38">
        <v>12</v>
      </c>
      <c r="AA38">
        <v>15</v>
      </c>
      <c r="AB38">
        <v>1507</v>
      </c>
    </row>
    <row r="39" spans="1:28" x14ac:dyDescent="0.25">
      <c r="A39">
        <v>0.14976070699999999</v>
      </c>
      <c r="B39">
        <v>2.2156862745098</v>
      </c>
      <c r="C39">
        <v>14.800000190734799</v>
      </c>
      <c r="D39">
        <v>87</v>
      </c>
      <c r="E39">
        <v>25</v>
      </c>
      <c r="F39">
        <v>5004</v>
      </c>
      <c r="G39" t="s">
        <v>28</v>
      </c>
      <c r="J39">
        <v>46</v>
      </c>
      <c r="K39">
        <v>39</v>
      </c>
      <c r="L39">
        <v>5004</v>
      </c>
      <c r="M39">
        <v>6</v>
      </c>
      <c r="N39" t="s">
        <v>75</v>
      </c>
      <c r="O39">
        <v>25</v>
      </c>
      <c r="P39">
        <v>339</v>
      </c>
      <c r="Q39">
        <v>128</v>
      </c>
      <c r="R39">
        <v>39</v>
      </c>
      <c r="S39">
        <v>1</v>
      </c>
      <c r="T39">
        <v>248.062251</v>
      </c>
      <c r="U39" t="s">
        <v>30</v>
      </c>
      <c r="V39">
        <v>7.8881621999999998E-2</v>
      </c>
      <c r="W39" t="s">
        <v>31</v>
      </c>
      <c r="X39">
        <v>0.22864142000000001</v>
      </c>
      <c r="Y39">
        <v>5</v>
      </c>
      <c r="Z39">
        <v>16</v>
      </c>
      <c r="AA39">
        <v>10</v>
      </c>
      <c r="AB39">
        <v>5004</v>
      </c>
    </row>
    <row r="40" spans="1:28" x14ac:dyDescent="0.25">
      <c r="A40">
        <v>2.8574304999999901E-2</v>
      </c>
      <c r="B40">
        <v>3.2774566473988398</v>
      </c>
      <c r="C40">
        <v>16.799999237060501</v>
      </c>
      <c r="D40">
        <v>136</v>
      </c>
      <c r="E40">
        <v>20</v>
      </c>
      <c r="F40">
        <v>596</v>
      </c>
      <c r="G40" t="s">
        <v>28</v>
      </c>
      <c r="J40">
        <v>47</v>
      </c>
      <c r="K40">
        <v>67</v>
      </c>
      <c r="L40">
        <v>596</v>
      </c>
      <c r="M40">
        <v>8</v>
      </c>
      <c r="N40" t="s">
        <v>76</v>
      </c>
      <c r="O40">
        <v>35</v>
      </c>
      <c r="P40">
        <v>567</v>
      </c>
      <c r="Q40">
        <v>312</v>
      </c>
      <c r="R40">
        <v>67</v>
      </c>
      <c r="S40">
        <v>1</v>
      </c>
      <c r="T40">
        <v>44.233134</v>
      </c>
      <c r="U40" t="s">
        <v>30</v>
      </c>
      <c r="V40">
        <v>1.3444106000000001E-2</v>
      </c>
      <c r="W40" t="s">
        <v>31</v>
      </c>
      <c r="X40">
        <v>4.2017857999999998E-2</v>
      </c>
      <c r="Y40">
        <v>5</v>
      </c>
      <c r="Z40">
        <v>21</v>
      </c>
      <c r="AA40">
        <v>36</v>
      </c>
      <c r="AB40">
        <v>596</v>
      </c>
    </row>
    <row r="41" spans="1:28" x14ac:dyDescent="0.25">
      <c r="C41">
        <v>15.949999809265099</v>
      </c>
      <c r="D41">
        <v>2246</v>
      </c>
      <c r="E41">
        <v>25</v>
      </c>
      <c r="G41" t="s">
        <v>28</v>
      </c>
      <c r="J41">
        <v>48</v>
      </c>
      <c r="N41" t="s">
        <v>77</v>
      </c>
      <c r="T41">
        <v>120000</v>
      </c>
      <c r="U41" t="s">
        <v>30</v>
      </c>
      <c r="W41" t="s">
        <v>53</v>
      </c>
      <c r="Y41">
        <v>20</v>
      </c>
    </row>
    <row r="42" spans="1:28" x14ac:dyDescent="0.25">
      <c r="A42">
        <v>0.22930450599999899</v>
      </c>
      <c r="B42">
        <v>4.7650273224043698</v>
      </c>
      <c r="C42">
        <v>17.799999237060501</v>
      </c>
      <c r="D42">
        <v>136</v>
      </c>
      <c r="E42">
        <v>25</v>
      </c>
      <c r="F42">
        <v>2490</v>
      </c>
      <c r="G42" t="s">
        <v>28</v>
      </c>
      <c r="J42">
        <v>49</v>
      </c>
      <c r="K42">
        <v>95</v>
      </c>
      <c r="L42">
        <v>2490</v>
      </c>
      <c r="M42">
        <v>16</v>
      </c>
      <c r="N42" t="s">
        <v>78</v>
      </c>
      <c r="O42">
        <v>70</v>
      </c>
      <c r="P42">
        <v>872</v>
      </c>
      <c r="Q42">
        <v>543</v>
      </c>
      <c r="R42">
        <v>95</v>
      </c>
      <c r="S42">
        <v>1</v>
      </c>
      <c r="T42">
        <v>573.40998400000001</v>
      </c>
      <c r="U42" t="s">
        <v>30</v>
      </c>
      <c r="V42">
        <v>0.31186159800000002</v>
      </c>
      <c r="W42" t="s">
        <v>31</v>
      </c>
      <c r="X42">
        <v>0.54116541100000004</v>
      </c>
      <c r="Y42">
        <v>5</v>
      </c>
      <c r="Z42">
        <v>33</v>
      </c>
      <c r="AA42">
        <v>50</v>
      </c>
      <c r="AB42">
        <v>2490</v>
      </c>
    </row>
    <row r="43" spans="1:28" x14ac:dyDescent="0.25">
      <c r="A43">
        <v>1.4821271999999899E-2</v>
      </c>
      <c r="B43">
        <v>1.7834394904458599</v>
      </c>
      <c r="C43">
        <v>15.199999809265099</v>
      </c>
      <c r="D43">
        <v>93</v>
      </c>
      <c r="E43">
        <v>25</v>
      </c>
      <c r="F43">
        <v>209</v>
      </c>
      <c r="G43" t="s">
        <v>28</v>
      </c>
      <c r="J43">
        <v>50</v>
      </c>
      <c r="K43">
        <v>45</v>
      </c>
      <c r="L43">
        <v>209</v>
      </c>
      <c r="M43">
        <v>4</v>
      </c>
      <c r="N43" t="s">
        <v>79</v>
      </c>
      <c r="O43">
        <v>6</v>
      </c>
      <c r="P43">
        <v>280</v>
      </c>
      <c r="Q43">
        <v>103</v>
      </c>
      <c r="R43">
        <v>45</v>
      </c>
      <c r="S43">
        <v>1</v>
      </c>
      <c r="T43">
        <v>18.856470000000002</v>
      </c>
      <c r="U43" t="s">
        <v>30</v>
      </c>
      <c r="V43">
        <v>3.501531E-3</v>
      </c>
      <c r="W43" t="s">
        <v>31</v>
      </c>
      <c r="X43">
        <v>1.8322176999999999E-2</v>
      </c>
      <c r="Y43">
        <v>5</v>
      </c>
      <c r="Z43">
        <v>2</v>
      </c>
      <c r="AA43">
        <v>35</v>
      </c>
      <c r="AB43">
        <v>209</v>
      </c>
    </row>
    <row r="44" spans="1:28" x14ac:dyDescent="0.25">
      <c r="A44">
        <v>8.8457463459999897</v>
      </c>
      <c r="B44">
        <v>1.9576719576719499</v>
      </c>
      <c r="C44">
        <v>15.25</v>
      </c>
      <c r="D44">
        <v>2865</v>
      </c>
      <c r="E44">
        <v>25</v>
      </c>
      <c r="F44">
        <v>56761</v>
      </c>
      <c r="G44" t="s">
        <v>28</v>
      </c>
      <c r="J44">
        <v>51</v>
      </c>
      <c r="K44">
        <v>31</v>
      </c>
      <c r="L44">
        <v>56761</v>
      </c>
      <c r="M44">
        <v>11</v>
      </c>
      <c r="N44" t="s">
        <v>80</v>
      </c>
      <c r="O44">
        <v>96</v>
      </c>
      <c r="P44">
        <v>1480</v>
      </c>
      <c r="Q44">
        <v>442</v>
      </c>
      <c r="R44">
        <v>31</v>
      </c>
      <c r="S44">
        <v>1</v>
      </c>
      <c r="T44">
        <v>13439.618361999999</v>
      </c>
      <c r="U44" t="s">
        <v>30</v>
      </c>
      <c r="V44">
        <v>3.4056626570000001</v>
      </c>
      <c r="W44" t="s">
        <v>31</v>
      </c>
      <c r="X44">
        <v>12.251407577</v>
      </c>
      <c r="Y44">
        <v>24</v>
      </c>
      <c r="Z44">
        <v>15</v>
      </c>
      <c r="AA44">
        <v>0</v>
      </c>
      <c r="AB44">
        <v>56761</v>
      </c>
    </row>
    <row r="45" spans="1:28" x14ac:dyDescent="0.25">
      <c r="A45">
        <v>6.3222683000000002E-2</v>
      </c>
      <c r="B45">
        <v>2.1294964028776899</v>
      </c>
      <c r="C45">
        <v>13.399999618530201</v>
      </c>
      <c r="D45">
        <v>72</v>
      </c>
      <c r="E45">
        <v>25</v>
      </c>
      <c r="F45">
        <v>1906</v>
      </c>
      <c r="G45" t="s">
        <v>28</v>
      </c>
      <c r="J45">
        <v>52</v>
      </c>
      <c r="K45">
        <v>47</v>
      </c>
      <c r="L45">
        <v>1906</v>
      </c>
      <c r="M45">
        <v>5</v>
      </c>
      <c r="N45" t="s">
        <v>81</v>
      </c>
      <c r="O45">
        <v>10</v>
      </c>
      <c r="P45">
        <v>296</v>
      </c>
      <c r="Q45">
        <v>125</v>
      </c>
      <c r="R45">
        <v>47</v>
      </c>
      <c r="S45">
        <v>1</v>
      </c>
      <c r="T45">
        <v>124.168285</v>
      </c>
      <c r="U45" t="s">
        <v>30</v>
      </c>
      <c r="V45">
        <v>5.3154137999999997E-2</v>
      </c>
      <c r="W45" t="s">
        <v>31</v>
      </c>
      <c r="X45">
        <v>0.11637616100000001</v>
      </c>
      <c r="Y45">
        <v>5</v>
      </c>
      <c r="Z45">
        <v>5</v>
      </c>
      <c r="AA45">
        <v>31</v>
      </c>
      <c r="AB45">
        <v>1906</v>
      </c>
    </row>
    <row r="46" spans="1:28" x14ac:dyDescent="0.25">
      <c r="A46">
        <v>0.155725955</v>
      </c>
      <c r="B46">
        <v>2.8629441624365399</v>
      </c>
      <c r="C46">
        <v>13.571428298950099</v>
      </c>
      <c r="D46">
        <v>150</v>
      </c>
      <c r="E46">
        <v>25</v>
      </c>
      <c r="F46">
        <v>8874</v>
      </c>
      <c r="G46" t="s">
        <v>28</v>
      </c>
      <c r="J46">
        <v>53</v>
      </c>
      <c r="K46">
        <v>31</v>
      </c>
      <c r="L46">
        <v>8874</v>
      </c>
      <c r="M46">
        <v>12</v>
      </c>
      <c r="N46" t="s">
        <v>82</v>
      </c>
      <c r="O46">
        <v>62</v>
      </c>
      <c r="P46">
        <v>564</v>
      </c>
      <c r="Q46">
        <v>213</v>
      </c>
      <c r="R46">
        <v>31</v>
      </c>
      <c r="S46">
        <v>1</v>
      </c>
      <c r="T46">
        <v>209.935348</v>
      </c>
      <c r="U46" t="s">
        <v>30</v>
      </c>
      <c r="V46">
        <v>3.1928669E-2</v>
      </c>
      <c r="W46" t="s">
        <v>31</v>
      </c>
      <c r="X46">
        <v>0.18765401500000001</v>
      </c>
      <c r="Y46">
        <v>7</v>
      </c>
      <c r="Z46">
        <v>17</v>
      </c>
      <c r="AA46">
        <v>0</v>
      </c>
      <c r="AB46">
        <v>8874</v>
      </c>
    </row>
    <row r="47" spans="1:28" x14ac:dyDescent="0.25">
      <c r="A47">
        <v>0.116435171</v>
      </c>
      <c r="B47">
        <v>1.55080213903743</v>
      </c>
      <c r="C47">
        <v>12.857142448425201</v>
      </c>
      <c r="D47">
        <v>126</v>
      </c>
      <c r="E47">
        <v>25</v>
      </c>
      <c r="F47">
        <v>6912</v>
      </c>
      <c r="G47" t="s">
        <v>28</v>
      </c>
      <c r="J47">
        <v>54</v>
      </c>
      <c r="K47">
        <v>49</v>
      </c>
      <c r="L47">
        <v>6912</v>
      </c>
      <c r="M47">
        <v>3</v>
      </c>
      <c r="N47" t="s">
        <v>72</v>
      </c>
      <c r="O47">
        <v>4</v>
      </c>
      <c r="P47">
        <v>290</v>
      </c>
      <c r="Q47">
        <v>89</v>
      </c>
      <c r="R47">
        <v>49</v>
      </c>
      <c r="S47">
        <v>1</v>
      </c>
      <c r="T47">
        <v>188.39134899999999</v>
      </c>
      <c r="U47" t="s">
        <v>30</v>
      </c>
      <c r="V47">
        <v>5.8144691999999998E-2</v>
      </c>
      <c r="W47" t="s">
        <v>31</v>
      </c>
      <c r="X47">
        <v>0.17457915700000001</v>
      </c>
      <c r="Y47">
        <v>7</v>
      </c>
      <c r="Z47">
        <v>1</v>
      </c>
      <c r="AA47">
        <v>35</v>
      </c>
      <c r="AB47">
        <v>6912</v>
      </c>
    </row>
    <row r="48" spans="1:28" x14ac:dyDescent="0.25">
      <c r="A48">
        <v>11.995064374</v>
      </c>
      <c r="B48">
        <v>1.77232704402515</v>
      </c>
      <c r="C48">
        <v>15.399999618530201</v>
      </c>
      <c r="D48">
        <v>3202</v>
      </c>
      <c r="E48">
        <v>25</v>
      </c>
      <c r="F48">
        <v>69208</v>
      </c>
      <c r="G48" t="s">
        <v>28</v>
      </c>
      <c r="J48">
        <v>55</v>
      </c>
      <c r="K48">
        <v>32</v>
      </c>
      <c r="L48">
        <v>69208</v>
      </c>
      <c r="M48">
        <v>9</v>
      </c>
      <c r="N48" t="s">
        <v>73</v>
      </c>
      <c r="O48">
        <v>65</v>
      </c>
      <c r="P48">
        <v>1409</v>
      </c>
      <c r="Q48">
        <v>394</v>
      </c>
      <c r="R48">
        <v>32</v>
      </c>
      <c r="S48">
        <v>1</v>
      </c>
      <c r="T48">
        <v>20159.585585000001</v>
      </c>
      <c r="U48" t="s">
        <v>30</v>
      </c>
      <c r="V48">
        <v>6.7986631509999897</v>
      </c>
      <c r="W48" t="s">
        <v>31</v>
      </c>
      <c r="X48">
        <v>18.793725962</v>
      </c>
      <c r="Y48">
        <v>25</v>
      </c>
      <c r="Z48">
        <v>12</v>
      </c>
      <c r="AA48">
        <v>3</v>
      </c>
      <c r="AB48">
        <v>69208</v>
      </c>
    </row>
    <row r="49" spans="1:28" x14ac:dyDescent="0.25">
      <c r="A49">
        <v>1.358352088</v>
      </c>
      <c r="B49">
        <v>1.89316239316239</v>
      </c>
      <c r="C49">
        <v>16.214284896850501</v>
      </c>
      <c r="D49">
        <v>970</v>
      </c>
      <c r="E49">
        <v>25</v>
      </c>
      <c r="F49">
        <v>19676</v>
      </c>
      <c r="G49" t="s">
        <v>28</v>
      </c>
      <c r="J49">
        <v>56</v>
      </c>
      <c r="K49">
        <v>26</v>
      </c>
      <c r="L49">
        <v>19676</v>
      </c>
      <c r="M49">
        <v>13</v>
      </c>
      <c r="N49" t="s">
        <v>74</v>
      </c>
      <c r="O49">
        <v>72</v>
      </c>
      <c r="P49">
        <v>886</v>
      </c>
      <c r="Q49">
        <v>224</v>
      </c>
      <c r="R49">
        <v>26</v>
      </c>
      <c r="S49">
        <v>1</v>
      </c>
      <c r="T49">
        <v>1928.2640249999999</v>
      </c>
      <c r="U49" t="s">
        <v>30</v>
      </c>
      <c r="V49">
        <v>0.39688930900000002</v>
      </c>
      <c r="W49" t="s">
        <v>31</v>
      </c>
      <c r="X49">
        <v>1.7552406389999999</v>
      </c>
      <c r="Y49">
        <v>14</v>
      </c>
      <c r="Z49">
        <v>11</v>
      </c>
      <c r="AA49">
        <v>0</v>
      </c>
      <c r="AB49">
        <v>19676</v>
      </c>
    </row>
    <row r="50" spans="1:28" x14ac:dyDescent="0.25">
      <c r="A50">
        <v>10.8733038259999</v>
      </c>
      <c r="B50">
        <v>3.77071600965406</v>
      </c>
      <c r="C50">
        <v>20.931034088134702</v>
      </c>
      <c r="D50">
        <v>5915</v>
      </c>
      <c r="E50">
        <v>33</v>
      </c>
      <c r="F50">
        <v>14121</v>
      </c>
      <c r="G50" t="s">
        <v>28</v>
      </c>
      <c r="J50">
        <v>57</v>
      </c>
      <c r="K50">
        <v>50</v>
      </c>
      <c r="L50">
        <v>14121</v>
      </c>
      <c r="M50">
        <v>14</v>
      </c>
      <c r="N50" t="s">
        <v>83</v>
      </c>
      <c r="O50">
        <v>406</v>
      </c>
      <c r="P50">
        <v>4687</v>
      </c>
      <c r="Q50">
        <v>2518</v>
      </c>
      <c r="R50">
        <v>50</v>
      </c>
      <c r="S50">
        <v>1</v>
      </c>
      <c r="T50">
        <v>24127.562550999999</v>
      </c>
      <c r="U50" t="s">
        <v>30</v>
      </c>
      <c r="V50">
        <v>11.332839018</v>
      </c>
      <c r="W50" t="s">
        <v>31</v>
      </c>
      <c r="X50">
        <v>22.206142147000001</v>
      </c>
      <c r="Y50">
        <v>29</v>
      </c>
      <c r="Z50">
        <v>36</v>
      </c>
      <c r="AA50">
        <v>0</v>
      </c>
      <c r="AB50">
        <v>14121</v>
      </c>
    </row>
    <row r="51" spans="1:28" x14ac:dyDescent="0.25">
      <c r="A51">
        <v>11.618575368999901</v>
      </c>
      <c r="B51">
        <v>6.0389743589743503</v>
      </c>
      <c r="C51">
        <v>19</v>
      </c>
      <c r="D51">
        <v>3735</v>
      </c>
      <c r="E51">
        <v>33</v>
      </c>
      <c r="G51" t="s">
        <v>28</v>
      </c>
      <c r="J51">
        <v>61</v>
      </c>
      <c r="K51">
        <v>55</v>
      </c>
      <c r="L51">
        <v>9663</v>
      </c>
      <c r="M51">
        <v>35</v>
      </c>
      <c r="N51" t="s">
        <v>87</v>
      </c>
      <c r="O51">
        <v>740</v>
      </c>
      <c r="P51">
        <v>5888</v>
      </c>
      <c r="Q51">
        <v>3297</v>
      </c>
      <c r="R51">
        <v>54</v>
      </c>
      <c r="S51">
        <v>1</v>
      </c>
      <c r="T51">
        <v>120374.896480999</v>
      </c>
      <c r="U51" t="s">
        <v>30</v>
      </c>
      <c r="V51">
        <v>108.75632206</v>
      </c>
      <c r="W51" t="s">
        <v>88</v>
      </c>
      <c r="X51">
        <v>120.37489648099999</v>
      </c>
      <c r="Y51">
        <v>25</v>
      </c>
      <c r="Z51">
        <v>49</v>
      </c>
      <c r="AA51">
        <v>0</v>
      </c>
      <c r="AB51">
        <v>9974</v>
      </c>
    </row>
    <row r="52" spans="1:28" x14ac:dyDescent="0.25">
      <c r="A52">
        <v>0.67859457999999995</v>
      </c>
      <c r="B52">
        <v>3.28005464480874</v>
      </c>
      <c r="C52">
        <v>22.375</v>
      </c>
      <c r="D52">
        <v>2061</v>
      </c>
      <c r="E52">
        <v>33</v>
      </c>
      <c r="F52">
        <v>3730</v>
      </c>
      <c r="G52" t="s">
        <v>28</v>
      </c>
      <c r="J52">
        <v>62</v>
      </c>
      <c r="K52">
        <v>57</v>
      </c>
      <c r="L52">
        <v>3730</v>
      </c>
      <c r="M52">
        <v>10</v>
      </c>
      <c r="N52" t="s">
        <v>89</v>
      </c>
      <c r="O52">
        <v>143</v>
      </c>
      <c r="P52">
        <v>2401</v>
      </c>
      <c r="Q52">
        <v>1285</v>
      </c>
      <c r="R52">
        <v>57</v>
      </c>
      <c r="S52">
        <v>1</v>
      </c>
      <c r="T52">
        <v>1283.8122980000001</v>
      </c>
      <c r="U52" t="s">
        <v>30</v>
      </c>
      <c r="V52">
        <v>0.50999614000000004</v>
      </c>
      <c r="W52" t="s">
        <v>31</v>
      </c>
      <c r="X52">
        <v>1.188589943</v>
      </c>
      <c r="Y52">
        <v>16</v>
      </c>
      <c r="Z52">
        <v>42</v>
      </c>
      <c r="AA52">
        <v>3</v>
      </c>
      <c r="AB52">
        <v>3730</v>
      </c>
    </row>
    <row r="53" spans="1:28" x14ac:dyDescent="0.25">
      <c r="A53">
        <v>0.474023424999999</v>
      </c>
      <c r="B53">
        <v>2.9166666666666599</v>
      </c>
      <c r="C53">
        <v>19.214284896850501</v>
      </c>
      <c r="D53">
        <v>1175</v>
      </c>
      <c r="E53">
        <v>33</v>
      </c>
      <c r="F53">
        <v>3516</v>
      </c>
      <c r="G53" t="s">
        <v>28</v>
      </c>
      <c r="J53">
        <v>63</v>
      </c>
      <c r="K53">
        <v>78</v>
      </c>
      <c r="L53">
        <v>3516</v>
      </c>
      <c r="M53">
        <v>11</v>
      </c>
      <c r="N53" t="s">
        <v>90</v>
      </c>
      <c r="O53">
        <v>77</v>
      </c>
      <c r="P53">
        <v>1610</v>
      </c>
      <c r="Q53">
        <v>882</v>
      </c>
      <c r="R53">
        <v>78</v>
      </c>
      <c r="S53">
        <v>1</v>
      </c>
      <c r="T53">
        <v>1295.2602119999999</v>
      </c>
      <c r="U53" t="s">
        <v>30</v>
      </c>
      <c r="V53">
        <v>0.75175409400000004</v>
      </c>
      <c r="W53" t="s">
        <v>31</v>
      </c>
      <c r="X53">
        <v>1.225776859</v>
      </c>
      <c r="Y53">
        <v>14</v>
      </c>
      <c r="Z53">
        <v>36</v>
      </c>
      <c r="AA53">
        <v>30</v>
      </c>
      <c r="AB53">
        <v>3516</v>
      </c>
    </row>
    <row r="54" spans="1:28" x14ac:dyDescent="0.25">
      <c r="A54">
        <v>0.98967234999999998</v>
      </c>
      <c r="B54">
        <v>3.3396624472573802</v>
      </c>
      <c r="C54">
        <v>19.25</v>
      </c>
      <c r="D54">
        <v>876</v>
      </c>
      <c r="E54">
        <v>33</v>
      </c>
      <c r="F54">
        <v>3306</v>
      </c>
      <c r="G54" t="s">
        <v>28</v>
      </c>
      <c r="J54">
        <v>64</v>
      </c>
      <c r="K54">
        <v>59</v>
      </c>
      <c r="L54">
        <v>3306</v>
      </c>
      <c r="M54">
        <v>20</v>
      </c>
      <c r="N54" t="s">
        <v>91</v>
      </c>
      <c r="O54">
        <v>146</v>
      </c>
      <c r="P54">
        <v>1583</v>
      </c>
      <c r="Q54">
        <v>826</v>
      </c>
      <c r="R54">
        <v>59</v>
      </c>
      <c r="S54">
        <v>1</v>
      </c>
      <c r="T54">
        <v>2010.0825520000001</v>
      </c>
      <c r="U54" t="s">
        <v>30</v>
      </c>
      <c r="V54">
        <v>0.90051818400000005</v>
      </c>
      <c r="W54" t="s">
        <v>31</v>
      </c>
      <c r="X54">
        <v>1.890189876</v>
      </c>
      <c r="Y54">
        <v>12</v>
      </c>
      <c r="Z54">
        <v>43</v>
      </c>
      <c r="AA54">
        <v>4</v>
      </c>
      <c r="AB54">
        <v>3306</v>
      </c>
    </row>
    <row r="55" spans="1:28" x14ac:dyDescent="0.25">
      <c r="A55">
        <v>6.4365423000000005E-2</v>
      </c>
      <c r="B55">
        <v>2.0620915032679701</v>
      </c>
      <c r="C55">
        <v>18.625</v>
      </c>
      <c r="D55">
        <v>307</v>
      </c>
      <c r="E55">
        <v>33</v>
      </c>
      <c r="F55">
        <v>2149</v>
      </c>
      <c r="G55" t="s">
        <v>28</v>
      </c>
      <c r="J55">
        <v>65</v>
      </c>
      <c r="K55">
        <v>52</v>
      </c>
      <c r="L55">
        <v>2149</v>
      </c>
      <c r="M55">
        <v>9</v>
      </c>
      <c r="N55" t="s">
        <v>92</v>
      </c>
      <c r="O55">
        <v>23</v>
      </c>
      <c r="P55">
        <v>631</v>
      </c>
      <c r="Q55">
        <v>265</v>
      </c>
      <c r="R55">
        <v>52</v>
      </c>
      <c r="S55">
        <v>1</v>
      </c>
      <c r="T55">
        <v>93.230835999999996</v>
      </c>
      <c r="U55" t="s">
        <v>30</v>
      </c>
      <c r="V55">
        <v>2.1943989000000001E-2</v>
      </c>
      <c r="W55" t="s">
        <v>31</v>
      </c>
      <c r="X55">
        <v>8.6308734999999998E-2</v>
      </c>
      <c r="Y55">
        <v>8</v>
      </c>
      <c r="Z55">
        <v>14</v>
      </c>
      <c r="AA55">
        <v>26</v>
      </c>
      <c r="AB55">
        <v>2149</v>
      </c>
    </row>
    <row r="56" spans="1:28" x14ac:dyDescent="0.25">
      <c r="A56">
        <v>8.6164212000000004E-2</v>
      </c>
      <c r="B56">
        <v>2.66190476190476</v>
      </c>
      <c r="C56">
        <v>12.625</v>
      </c>
      <c r="D56">
        <v>126</v>
      </c>
      <c r="E56">
        <v>33</v>
      </c>
      <c r="F56">
        <v>1762</v>
      </c>
      <c r="G56" t="s">
        <v>28</v>
      </c>
      <c r="J56">
        <v>66</v>
      </c>
      <c r="K56">
        <v>55</v>
      </c>
      <c r="L56">
        <v>1762</v>
      </c>
      <c r="M56">
        <v>8</v>
      </c>
      <c r="N56" t="s">
        <v>93</v>
      </c>
      <c r="O56">
        <v>26</v>
      </c>
      <c r="P56">
        <v>559</v>
      </c>
      <c r="Q56">
        <v>282</v>
      </c>
      <c r="R56">
        <v>55</v>
      </c>
      <c r="S56">
        <v>1</v>
      </c>
      <c r="T56">
        <v>155.23098999999999</v>
      </c>
      <c r="U56" t="s">
        <v>30</v>
      </c>
      <c r="V56">
        <v>5.8409680999999998E-2</v>
      </c>
      <c r="W56" t="s">
        <v>31</v>
      </c>
      <c r="X56">
        <v>0.14457308899999999</v>
      </c>
      <c r="Y56">
        <v>8</v>
      </c>
      <c r="Z56">
        <v>15</v>
      </c>
      <c r="AA56">
        <v>29</v>
      </c>
      <c r="AB56">
        <v>1762</v>
      </c>
    </row>
    <row r="57" spans="1:28" x14ac:dyDescent="0.25">
      <c r="C57">
        <v>19.888889312744102</v>
      </c>
      <c r="D57">
        <v>4862</v>
      </c>
      <c r="E57">
        <v>33</v>
      </c>
      <c r="G57" t="s">
        <v>28</v>
      </c>
      <c r="J57">
        <v>67</v>
      </c>
      <c r="N57" t="s">
        <v>94</v>
      </c>
      <c r="T57">
        <v>120000</v>
      </c>
      <c r="U57" t="s">
        <v>30</v>
      </c>
      <c r="W57" t="s">
        <v>53</v>
      </c>
      <c r="Y57">
        <v>27</v>
      </c>
    </row>
    <row r="58" spans="1:28" x14ac:dyDescent="0.25">
      <c r="A58">
        <v>4.9671638480000002</v>
      </c>
      <c r="B58">
        <v>4.1338199513381904</v>
      </c>
      <c r="C58">
        <v>20.049999237060501</v>
      </c>
      <c r="D58">
        <v>2616</v>
      </c>
      <c r="E58">
        <v>33</v>
      </c>
      <c r="F58">
        <v>8176</v>
      </c>
      <c r="G58" t="s">
        <v>28</v>
      </c>
      <c r="J58">
        <v>68</v>
      </c>
      <c r="K58">
        <v>59</v>
      </c>
      <c r="L58">
        <v>8176</v>
      </c>
      <c r="M58">
        <v>17</v>
      </c>
      <c r="N58" t="s">
        <v>95</v>
      </c>
      <c r="O58">
        <v>305</v>
      </c>
      <c r="P58">
        <v>3398</v>
      </c>
      <c r="Q58">
        <v>1917</v>
      </c>
      <c r="R58">
        <v>59</v>
      </c>
      <c r="S58">
        <v>1</v>
      </c>
      <c r="T58">
        <v>13282.822099000001</v>
      </c>
      <c r="U58" t="s">
        <v>30</v>
      </c>
      <c r="V58">
        <v>7.6288354639999998</v>
      </c>
      <c r="W58" t="s">
        <v>31</v>
      </c>
      <c r="X58">
        <v>12.595998498</v>
      </c>
      <c r="Y58">
        <v>20</v>
      </c>
      <c r="Z58">
        <v>45</v>
      </c>
      <c r="AA58">
        <v>1</v>
      </c>
      <c r="AB58">
        <v>8176</v>
      </c>
    </row>
    <row r="59" spans="1:28" x14ac:dyDescent="0.25">
      <c r="A59">
        <v>2.1399514399999999</v>
      </c>
      <c r="B59">
        <v>3.0582677165354299</v>
      </c>
      <c r="C59">
        <v>18.176469802856399</v>
      </c>
      <c r="D59">
        <v>1632</v>
      </c>
      <c r="E59">
        <v>33</v>
      </c>
      <c r="F59">
        <v>7272</v>
      </c>
      <c r="G59" t="s">
        <v>28</v>
      </c>
      <c r="J59">
        <v>69</v>
      </c>
      <c r="K59">
        <v>58</v>
      </c>
      <c r="L59">
        <v>7272</v>
      </c>
      <c r="M59">
        <v>17</v>
      </c>
      <c r="N59" t="s">
        <v>84</v>
      </c>
      <c r="O59">
        <v>145</v>
      </c>
      <c r="P59">
        <v>1942</v>
      </c>
      <c r="Q59">
        <v>982</v>
      </c>
      <c r="R59">
        <v>58</v>
      </c>
      <c r="S59">
        <v>1</v>
      </c>
      <c r="T59">
        <v>4902.8095540000004</v>
      </c>
      <c r="U59" t="s">
        <v>30</v>
      </c>
      <c r="V59">
        <v>2.474034858</v>
      </c>
      <c r="W59" t="s">
        <v>31</v>
      </c>
      <c r="X59">
        <v>4.613985596</v>
      </c>
      <c r="Y59">
        <v>17</v>
      </c>
      <c r="Z59">
        <v>40</v>
      </c>
      <c r="AA59">
        <v>5</v>
      </c>
      <c r="AB59">
        <v>7272</v>
      </c>
    </row>
    <row r="60" spans="1:28" x14ac:dyDescent="0.25">
      <c r="G60" t="s">
        <v>43</v>
      </c>
      <c r="H60">
        <v>134</v>
      </c>
      <c r="I60" t="s">
        <v>44</v>
      </c>
      <c r="J60">
        <v>70</v>
      </c>
      <c r="N60" t="s">
        <v>85</v>
      </c>
      <c r="T60">
        <v>128099</v>
      </c>
      <c r="U60" t="s">
        <v>46</v>
      </c>
      <c r="W60" t="s">
        <v>44</v>
      </c>
      <c r="X60">
        <v>128.09899999999999</v>
      </c>
    </row>
    <row r="61" spans="1:28" x14ac:dyDescent="0.25">
      <c r="C61">
        <v>21.714284896850501</v>
      </c>
      <c r="D61">
        <v>6393</v>
      </c>
      <c r="E61">
        <v>33</v>
      </c>
      <c r="G61" t="s">
        <v>28</v>
      </c>
      <c r="J61">
        <v>71</v>
      </c>
      <c r="N61" t="s">
        <v>86</v>
      </c>
      <c r="T61">
        <v>120000</v>
      </c>
      <c r="U61" t="s">
        <v>30</v>
      </c>
      <c r="W61" t="s">
        <v>53</v>
      </c>
      <c r="Y61">
        <v>28</v>
      </c>
    </row>
    <row r="62" spans="1:28" x14ac:dyDescent="0.25">
      <c r="A62">
        <v>2.663657063</v>
      </c>
      <c r="B62">
        <v>4.1152647975077796</v>
      </c>
      <c r="C62">
        <v>17.3333339691162</v>
      </c>
      <c r="D62">
        <v>2022</v>
      </c>
      <c r="E62">
        <v>25</v>
      </c>
      <c r="F62">
        <v>5016</v>
      </c>
      <c r="G62" t="s">
        <v>28</v>
      </c>
      <c r="J62">
        <v>72</v>
      </c>
      <c r="K62">
        <v>67</v>
      </c>
      <c r="L62">
        <v>5016</v>
      </c>
      <c r="M62">
        <v>14</v>
      </c>
      <c r="N62" t="s">
        <v>96</v>
      </c>
      <c r="O62">
        <v>211</v>
      </c>
      <c r="P62">
        <v>2642</v>
      </c>
      <c r="Q62">
        <v>1518</v>
      </c>
      <c r="R62">
        <v>67</v>
      </c>
      <c r="S62">
        <v>1</v>
      </c>
      <c r="T62">
        <v>8218.2316289999999</v>
      </c>
      <c r="U62" t="s">
        <v>30</v>
      </c>
      <c r="V62">
        <v>5.1771654649999999</v>
      </c>
      <c r="W62" t="s">
        <v>31</v>
      </c>
      <c r="X62">
        <v>7.8408208369999999</v>
      </c>
      <c r="Y62">
        <v>18</v>
      </c>
      <c r="Z62">
        <v>50</v>
      </c>
      <c r="AA62">
        <v>4</v>
      </c>
      <c r="AB62">
        <v>5016</v>
      </c>
    </row>
    <row r="63" spans="1:28" x14ac:dyDescent="0.25">
      <c r="A63">
        <v>0.13555389800000001</v>
      </c>
      <c r="B63">
        <v>2.0653594771241801</v>
      </c>
      <c r="C63">
        <v>14.800000190734799</v>
      </c>
      <c r="D63">
        <v>87</v>
      </c>
      <c r="E63">
        <v>25</v>
      </c>
      <c r="F63">
        <v>4837</v>
      </c>
      <c r="G63" t="s">
        <v>28</v>
      </c>
      <c r="J63">
        <v>76</v>
      </c>
      <c r="K63">
        <v>34</v>
      </c>
      <c r="L63">
        <v>4837</v>
      </c>
      <c r="M63">
        <v>5</v>
      </c>
      <c r="N63" t="s">
        <v>100</v>
      </c>
      <c r="O63">
        <v>17</v>
      </c>
      <c r="P63">
        <v>316</v>
      </c>
      <c r="Q63">
        <v>113</v>
      </c>
      <c r="R63">
        <v>34</v>
      </c>
      <c r="S63">
        <v>1</v>
      </c>
      <c r="T63">
        <v>195.833752</v>
      </c>
      <c r="U63" t="s">
        <v>30</v>
      </c>
      <c r="V63">
        <v>4.2509349000000002E-2</v>
      </c>
      <c r="W63" t="s">
        <v>31</v>
      </c>
      <c r="X63">
        <v>0.17806260800000001</v>
      </c>
      <c r="Y63">
        <v>5</v>
      </c>
      <c r="Z63">
        <v>8</v>
      </c>
      <c r="AA63">
        <v>13</v>
      </c>
      <c r="AB63">
        <v>4837</v>
      </c>
    </row>
    <row r="64" spans="1:28" x14ac:dyDescent="0.25">
      <c r="A64">
        <v>3.7710536000000003E-2</v>
      </c>
      <c r="B64">
        <v>3.9768786127167601</v>
      </c>
      <c r="C64">
        <v>16.799999237060501</v>
      </c>
      <c r="D64">
        <v>136</v>
      </c>
      <c r="E64">
        <v>20</v>
      </c>
      <c r="F64">
        <v>674</v>
      </c>
      <c r="G64" t="s">
        <v>28</v>
      </c>
      <c r="J64">
        <v>77</v>
      </c>
      <c r="K64">
        <v>67</v>
      </c>
      <c r="L64">
        <v>674</v>
      </c>
      <c r="M64">
        <v>11</v>
      </c>
      <c r="N64" t="s">
        <v>101</v>
      </c>
      <c r="O64">
        <v>49</v>
      </c>
      <c r="P64">
        <v>688</v>
      </c>
      <c r="Q64">
        <v>381</v>
      </c>
      <c r="R64">
        <v>67</v>
      </c>
      <c r="S64">
        <v>1</v>
      </c>
      <c r="T64">
        <v>68.165665000000004</v>
      </c>
      <c r="U64" t="s">
        <v>30</v>
      </c>
      <c r="V64">
        <v>2.6632250999999999E-2</v>
      </c>
      <c r="W64" t="s">
        <v>31</v>
      </c>
      <c r="X64">
        <v>6.4342064000000004E-2</v>
      </c>
      <c r="Y64">
        <v>5</v>
      </c>
      <c r="Z64">
        <v>19</v>
      </c>
      <c r="AA64">
        <v>38</v>
      </c>
      <c r="AB64">
        <v>674</v>
      </c>
    </row>
    <row r="65" spans="1:28" x14ac:dyDescent="0.25">
      <c r="C65">
        <v>15.949999809265099</v>
      </c>
      <c r="D65">
        <v>2246</v>
      </c>
      <c r="E65">
        <v>25</v>
      </c>
      <c r="G65" t="s">
        <v>28</v>
      </c>
      <c r="J65">
        <v>78</v>
      </c>
      <c r="N65" t="s">
        <v>102</v>
      </c>
      <c r="T65">
        <v>120000</v>
      </c>
      <c r="U65" t="s">
        <v>30</v>
      </c>
      <c r="W65" t="s">
        <v>53</v>
      </c>
      <c r="Y65">
        <v>20</v>
      </c>
    </row>
    <row r="66" spans="1:28" x14ac:dyDescent="0.25">
      <c r="A66">
        <v>0.108023414</v>
      </c>
      <c r="B66">
        <v>3.8469945355191202</v>
      </c>
      <c r="C66">
        <v>17.799999237060501</v>
      </c>
      <c r="D66">
        <v>136</v>
      </c>
      <c r="E66">
        <v>25</v>
      </c>
      <c r="F66">
        <v>1900</v>
      </c>
      <c r="G66" t="s">
        <v>28</v>
      </c>
      <c r="J66">
        <v>79</v>
      </c>
      <c r="K66">
        <v>38</v>
      </c>
      <c r="L66">
        <v>1900</v>
      </c>
      <c r="M66">
        <v>11</v>
      </c>
      <c r="N66" t="s">
        <v>103</v>
      </c>
      <c r="O66">
        <v>79</v>
      </c>
      <c r="P66">
        <v>704</v>
      </c>
      <c r="Q66">
        <v>329</v>
      </c>
      <c r="R66">
        <v>38</v>
      </c>
      <c r="S66">
        <v>1</v>
      </c>
      <c r="T66">
        <v>166.31804500000001</v>
      </c>
      <c r="U66" t="s">
        <v>30</v>
      </c>
      <c r="V66">
        <v>4.4349655000000002E-2</v>
      </c>
      <c r="W66" t="s">
        <v>31</v>
      </c>
      <c r="X66">
        <v>0.15237208899999999</v>
      </c>
      <c r="Y66">
        <v>5</v>
      </c>
      <c r="Z66">
        <v>24</v>
      </c>
      <c r="AA66">
        <v>3</v>
      </c>
      <c r="AB66">
        <v>1900</v>
      </c>
    </row>
    <row r="67" spans="1:28" x14ac:dyDescent="0.25">
      <c r="A67">
        <v>1.7617534000000001E-2</v>
      </c>
      <c r="B67">
        <v>2.1528662420382099</v>
      </c>
      <c r="C67">
        <v>15.199999809265099</v>
      </c>
      <c r="D67">
        <v>93</v>
      </c>
      <c r="E67">
        <v>25</v>
      </c>
      <c r="F67">
        <v>461</v>
      </c>
      <c r="G67" t="s">
        <v>28</v>
      </c>
      <c r="J67">
        <v>80</v>
      </c>
      <c r="K67">
        <v>51</v>
      </c>
      <c r="L67">
        <v>461</v>
      </c>
      <c r="M67">
        <v>5</v>
      </c>
      <c r="N67" t="s">
        <v>104</v>
      </c>
      <c r="O67">
        <v>10</v>
      </c>
      <c r="P67">
        <v>338</v>
      </c>
      <c r="Q67">
        <v>153</v>
      </c>
      <c r="R67">
        <v>51</v>
      </c>
      <c r="S67">
        <v>1</v>
      </c>
      <c r="T67">
        <v>23.427848000000001</v>
      </c>
      <c r="U67" t="s">
        <v>30</v>
      </c>
      <c r="V67">
        <v>5.0067669999999996E-3</v>
      </c>
      <c r="W67" t="s">
        <v>31</v>
      </c>
      <c r="X67">
        <v>2.2623785E-2</v>
      </c>
      <c r="Y67">
        <v>5</v>
      </c>
      <c r="Z67">
        <v>6</v>
      </c>
      <c r="AA67">
        <v>36</v>
      </c>
      <c r="AB67">
        <v>461</v>
      </c>
    </row>
    <row r="68" spans="1:28" x14ac:dyDescent="0.25">
      <c r="C68">
        <v>15.25</v>
      </c>
      <c r="D68">
        <v>2865</v>
      </c>
      <c r="E68">
        <v>25</v>
      </c>
      <c r="G68" t="s">
        <v>28</v>
      </c>
      <c r="J68">
        <v>81</v>
      </c>
      <c r="N68" t="s">
        <v>105</v>
      </c>
      <c r="T68">
        <v>120000</v>
      </c>
      <c r="U68" t="s">
        <v>30</v>
      </c>
      <c r="W68" t="s">
        <v>53</v>
      </c>
      <c r="Y68">
        <v>24</v>
      </c>
    </row>
    <row r="69" spans="1:28" x14ac:dyDescent="0.25">
      <c r="A69">
        <v>8.6562710999999903E-2</v>
      </c>
      <c r="B69">
        <v>3.0935251798561101</v>
      </c>
      <c r="C69">
        <v>13.399999618530201</v>
      </c>
      <c r="D69">
        <v>72</v>
      </c>
      <c r="E69">
        <v>25</v>
      </c>
      <c r="F69">
        <v>2300</v>
      </c>
      <c r="G69" t="s">
        <v>28</v>
      </c>
      <c r="J69">
        <v>82</v>
      </c>
      <c r="K69">
        <v>72</v>
      </c>
      <c r="L69">
        <v>2300</v>
      </c>
      <c r="M69">
        <v>7</v>
      </c>
      <c r="N69" t="s">
        <v>106</v>
      </c>
      <c r="O69">
        <v>20</v>
      </c>
      <c r="P69">
        <v>430</v>
      </c>
      <c r="Q69">
        <v>237</v>
      </c>
      <c r="R69">
        <v>72</v>
      </c>
      <c r="S69">
        <v>1</v>
      </c>
      <c r="T69">
        <v>128.64562000000001</v>
      </c>
      <c r="U69" t="s">
        <v>30</v>
      </c>
      <c r="V69">
        <v>3.2996319000000003E-2</v>
      </c>
      <c r="W69" t="s">
        <v>31</v>
      </c>
      <c r="X69">
        <v>0.119558416</v>
      </c>
      <c r="Y69">
        <v>5</v>
      </c>
      <c r="Z69">
        <v>13</v>
      </c>
      <c r="AA69">
        <v>47</v>
      </c>
      <c r="AB69">
        <v>2300</v>
      </c>
    </row>
    <row r="70" spans="1:28" x14ac:dyDescent="0.25">
      <c r="A70">
        <v>0.59827266599999995</v>
      </c>
      <c r="B70">
        <v>3.6954314720812098</v>
      </c>
      <c r="C70">
        <v>13.571428298950099</v>
      </c>
      <c r="D70">
        <v>150</v>
      </c>
      <c r="E70">
        <v>25</v>
      </c>
      <c r="F70">
        <v>12006</v>
      </c>
      <c r="G70" t="s">
        <v>28</v>
      </c>
      <c r="J70">
        <v>83</v>
      </c>
      <c r="K70">
        <v>43</v>
      </c>
      <c r="L70">
        <v>12006</v>
      </c>
      <c r="M70">
        <v>11</v>
      </c>
      <c r="N70" t="s">
        <v>107</v>
      </c>
      <c r="O70">
        <v>68</v>
      </c>
      <c r="P70">
        <v>728</v>
      </c>
      <c r="Q70">
        <v>373</v>
      </c>
      <c r="R70">
        <v>43</v>
      </c>
      <c r="S70">
        <v>1</v>
      </c>
      <c r="T70">
        <v>1024.5980480000001</v>
      </c>
      <c r="U70" t="s">
        <v>30</v>
      </c>
      <c r="V70">
        <v>0.34218920600000002</v>
      </c>
      <c r="W70" t="s">
        <v>31</v>
      </c>
      <c r="X70">
        <v>0.94046129700000003</v>
      </c>
      <c r="Y70">
        <v>7</v>
      </c>
      <c r="Z70">
        <v>27</v>
      </c>
      <c r="AA70">
        <v>2</v>
      </c>
      <c r="AB70">
        <v>12006</v>
      </c>
    </row>
    <row r="71" spans="1:28" x14ac:dyDescent="0.25">
      <c r="A71">
        <v>0.113093308</v>
      </c>
      <c r="B71">
        <v>1.48663101604278</v>
      </c>
      <c r="C71">
        <v>12.857142448425201</v>
      </c>
      <c r="D71">
        <v>126</v>
      </c>
      <c r="E71">
        <v>25</v>
      </c>
      <c r="F71">
        <v>8761</v>
      </c>
      <c r="G71" t="s">
        <v>28</v>
      </c>
      <c r="J71">
        <v>84</v>
      </c>
      <c r="K71">
        <v>43</v>
      </c>
      <c r="L71">
        <v>8761</v>
      </c>
      <c r="M71">
        <v>4</v>
      </c>
      <c r="N71" t="s">
        <v>97</v>
      </c>
      <c r="O71">
        <v>5</v>
      </c>
      <c r="P71">
        <v>278</v>
      </c>
      <c r="Q71">
        <v>75</v>
      </c>
      <c r="R71">
        <v>43</v>
      </c>
      <c r="S71">
        <v>1</v>
      </c>
      <c r="T71">
        <v>181.00857600000001</v>
      </c>
      <c r="U71" t="s">
        <v>30</v>
      </c>
      <c r="V71">
        <v>5.4553844999999997E-2</v>
      </c>
      <c r="W71" t="s">
        <v>31</v>
      </c>
      <c r="X71">
        <v>0.1676465</v>
      </c>
      <c r="Y71">
        <v>7</v>
      </c>
      <c r="Z71">
        <v>2</v>
      </c>
      <c r="AA71">
        <v>27</v>
      </c>
      <c r="AB71">
        <v>8761</v>
      </c>
    </row>
    <row r="72" spans="1:28" x14ac:dyDescent="0.25">
      <c r="C72">
        <v>15.399999618530201</v>
      </c>
      <c r="D72">
        <v>3202</v>
      </c>
      <c r="E72">
        <v>25</v>
      </c>
      <c r="G72" t="s">
        <v>28</v>
      </c>
      <c r="J72">
        <v>85</v>
      </c>
      <c r="N72" t="s">
        <v>98</v>
      </c>
      <c r="T72">
        <v>120000</v>
      </c>
      <c r="U72" t="s">
        <v>30</v>
      </c>
      <c r="W72" t="s">
        <v>53</v>
      </c>
      <c r="Y72">
        <v>25</v>
      </c>
    </row>
    <row r="73" spans="1:28" x14ac:dyDescent="0.25">
      <c r="C73">
        <v>16.214284896850501</v>
      </c>
      <c r="D73">
        <v>970</v>
      </c>
      <c r="E73">
        <v>25</v>
      </c>
      <c r="G73" t="s">
        <v>28</v>
      </c>
      <c r="J73">
        <v>86</v>
      </c>
      <c r="N73" t="s">
        <v>99</v>
      </c>
      <c r="T73">
        <v>120000</v>
      </c>
      <c r="U73" t="s">
        <v>30</v>
      </c>
      <c r="W73" t="s">
        <v>53</v>
      </c>
      <c r="Y73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Sheet1!results_sat_scl_cont_scpb_prec_graph_120s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2026-04-07T17:33:59Z</dcterms:created>
  <dcterms:modified xsi:type="dcterms:W3CDTF">2026-04-07T17:47:16Z</dcterms:modified>
</cp:coreProperties>
</file>