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O16" i="1" l="1"/>
  <c r="O12" i="1"/>
  <c r="P12" i="1"/>
  <c r="O8" i="1"/>
  <c r="K16" i="1"/>
  <c r="K12" i="1"/>
  <c r="K8" i="1"/>
  <c r="H16" i="1" l="1"/>
  <c r="H12" i="1"/>
  <c r="H8" i="1"/>
  <c r="D16" i="1"/>
  <c r="D12" i="1"/>
  <c r="D8" i="1"/>
  <c r="R16" i="1"/>
  <c r="Q16" i="1"/>
  <c r="P16" i="1"/>
  <c r="N16" i="1"/>
  <c r="M16" i="1"/>
  <c r="L16" i="1"/>
  <c r="R12" i="1"/>
  <c r="Q12" i="1"/>
  <c r="N12" i="1"/>
  <c r="M12" i="1"/>
  <c r="L12" i="1"/>
  <c r="R8" i="1"/>
  <c r="Q8" i="1"/>
  <c r="P8" i="1"/>
  <c r="N8" i="1"/>
  <c r="M8" i="1"/>
  <c r="L8" i="1"/>
  <c r="E12" i="1" l="1"/>
  <c r="E16" i="1"/>
  <c r="I8" i="1"/>
  <c r="I12" i="1"/>
  <c r="I16" i="1"/>
  <c r="J16" i="1"/>
  <c r="G16" i="1"/>
  <c r="F16" i="1"/>
  <c r="C16" i="1"/>
  <c r="J12" i="1"/>
  <c r="G12" i="1"/>
  <c r="F12" i="1"/>
  <c r="C12" i="1"/>
  <c r="J8" i="1"/>
  <c r="G8" i="1"/>
  <c r="F8" i="1"/>
  <c r="C8" i="1"/>
</calcChain>
</file>

<file path=xl/sharedStrings.xml><?xml version="1.0" encoding="utf-8"?>
<sst xmlns="http://schemas.openxmlformats.org/spreadsheetml/2006/main" count="40" uniqueCount="18">
  <si>
    <t>Objective function</t>
  </si>
  <si>
    <t>Set</t>
  </si>
  <si>
    <t>120 seconds timeout</t>
  </si>
  <si>
    <t>Average time (ms)</t>
  </si>
  <si>
    <t>#Solved</t>
  </si>
  <si>
    <t>Paper</t>
  </si>
  <si>
    <t>Linear Continuous</t>
  </si>
  <si>
    <t>Original</t>
  </si>
  <si>
    <t>Track time</t>
  </si>
  <si>
    <t>Station time</t>
  </si>
  <si>
    <t>All</t>
  </si>
  <si>
    <t>Rounded Linear</t>
  </si>
  <si>
    <t>Stepwise</t>
  </si>
  <si>
    <t>SAT Incr SCPB</t>
  </si>
  <si>
    <t>SAT Incr Totalizer</t>
  </si>
  <si>
    <t>Maxsat SCL</t>
  </si>
  <si>
    <t>Without Precedence Graph</t>
  </si>
  <si>
    <t>With precedence Graph (Excluding Paper)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</si>
</sst>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8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36">
    <xf numFmtId="0" fontId="0" fillId="0" borderId="0" xfId="0"/>
    <xf numFmtId="0" fontId="0" fillId="0" borderId="17" xfId="0" applyBorder="1"/>
    <xf numFmtId="0" fontId="0" fillId="0" borderId="19" xfId="0" applyBorder="1"/>
    <xf numFmtId="0" fontId="2" fillId="0" borderId="20" xfId="0" applyFont="1" applyBorder="1"/>
    <xf numFmtId="0" fontId="0" fillId="0" borderId="22" xfId="0" applyBorder="1"/>
    <xf numFmtId="0" fontId="2" fillId="0" borderId="23" xfId="0" applyFont="1" applyBorder="1"/>
    <xf numFmtId="0" fontId="0" fillId="0" borderId="24" xfId="0" applyBorder="1"/>
    <xf numFmtId="0" fontId="2" fillId="0" borderId="25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3" xfId="0" applyBorder="1"/>
    <xf numFmtId="0" fontId="0" fillId="0" borderId="34" xfId="0" applyBorder="1"/>
    <xf numFmtId="0" fontId="1" fillId="2" borderId="35" xfId="1" applyBorder="1"/>
    <xf numFmtId="0" fontId="1" fillId="2" borderId="36" xfId="1" applyBorder="1"/>
    <xf numFmtId="0" fontId="1" fillId="2" borderId="38" xfId="1" applyBorder="1"/>
    <xf numFmtId="0" fontId="0" fillId="0" borderId="40" xfId="0" applyBorder="1"/>
    <xf numFmtId="0" fontId="0" fillId="0" borderId="41" xfId="0" applyBorder="1"/>
    <xf numFmtId="0" fontId="0" fillId="0" borderId="43" xfId="0" applyBorder="1"/>
    <xf numFmtId="0" fontId="0" fillId="0" borderId="1" xfId="0" applyBorder="1"/>
    <xf numFmtId="0" fontId="0" fillId="0" borderId="2" xfId="0" applyBorder="1"/>
    <xf numFmtId="0" fontId="0" fillId="0" borderId="44" xfId="0" applyBorder="1"/>
    <xf numFmtId="0" fontId="2" fillId="0" borderId="26" xfId="0" applyFont="1" applyBorder="1"/>
    <xf numFmtId="0" fontId="0" fillId="0" borderId="3" xfId="0" applyBorder="1"/>
    <xf numFmtId="0" fontId="0" fillId="0" borderId="45" xfId="0" applyBorder="1"/>
    <xf numFmtId="0" fontId="2" fillId="0" borderId="33" xfId="0" applyFont="1" applyBorder="1"/>
    <xf numFmtId="0" fontId="1" fillId="2" borderId="46" xfId="1" applyBorder="1"/>
    <xf numFmtId="0" fontId="2" fillId="2" borderId="38" xfId="1" applyFont="1" applyBorder="1"/>
    <xf numFmtId="0" fontId="0" fillId="0" borderId="49" xfId="0" applyBorder="1"/>
    <xf numFmtId="0" fontId="2" fillId="0" borderId="41" xfId="0" applyFont="1" applyBorder="1"/>
    <xf numFmtId="0" fontId="0" fillId="0" borderId="20" xfId="0" applyBorder="1"/>
    <xf numFmtId="0" fontId="0" fillId="0" borderId="50" xfId="0" applyBorder="1"/>
    <xf numFmtId="0" fontId="0" fillId="0" borderId="51" xfId="0" applyBorder="1"/>
    <xf numFmtId="0" fontId="1" fillId="2" borderId="53" xfId="1" applyBorder="1"/>
    <xf numFmtId="0" fontId="1" fillId="2" borderId="11" xfId="1" applyBorder="1"/>
    <xf numFmtId="0" fontId="1" fillId="2" borderId="12" xfId="1" applyBorder="1"/>
    <xf numFmtId="0" fontId="1" fillId="2" borderId="13" xfId="1" applyBorder="1"/>
    <xf numFmtId="0" fontId="1" fillId="2" borderId="15" xfId="1" applyBorder="1"/>
    <xf numFmtId="0" fontId="0" fillId="0" borderId="54" xfId="0" applyBorder="1"/>
    <xf numFmtId="0" fontId="2" fillId="0" borderId="27" xfId="0" applyFont="1" applyBorder="1"/>
    <xf numFmtId="0" fontId="2" fillId="0" borderId="32" xfId="0" applyFont="1" applyBorder="1"/>
    <xf numFmtId="0" fontId="1" fillId="2" borderId="56" xfId="1" applyBorder="1"/>
    <xf numFmtId="0" fontId="2" fillId="0" borderId="59" xfId="0" applyFont="1" applyBorder="1"/>
    <xf numFmtId="0" fontId="0" fillId="0" borderId="59" xfId="0" applyBorder="1"/>
    <xf numFmtId="0" fontId="1" fillId="3" borderId="14" xfId="2" applyBorder="1"/>
    <xf numFmtId="0" fontId="1" fillId="3" borderId="38" xfId="2" applyBorder="1"/>
    <xf numFmtId="0" fontId="1" fillId="3" borderId="48" xfId="2" applyBorder="1"/>
    <xf numFmtId="0" fontId="1" fillId="3" borderId="11" xfId="2" applyBorder="1"/>
    <xf numFmtId="0" fontId="1" fillId="3" borderId="12" xfId="2" applyBorder="1"/>
    <xf numFmtId="0" fontId="1" fillId="3" borderId="15" xfId="2" applyBorder="1"/>
    <xf numFmtId="0" fontId="0" fillId="0" borderId="62" xfId="0" applyBorder="1"/>
    <xf numFmtId="0" fontId="2" fillId="0" borderId="4" xfId="0" applyFont="1" applyBorder="1"/>
    <xf numFmtId="0" fontId="2" fillId="0" borderId="63" xfId="0" applyFont="1" applyBorder="1"/>
    <xf numFmtId="0" fontId="0" fillId="0" borderId="42" xfId="0" applyBorder="1"/>
    <xf numFmtId="0" fontId="0" fillId="0" borderId="1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64" xfId="0" applyBorder="1"/>
    <xf numFmtId="0" fontId="0" fillId="0" borderId="66" xfId="0" applyBorder="1"/>
    <xf numFmtId="0" fontId="2" fillId="0" borderId="66" xfId="0" applyFont="1" applyBorder="1"/>
    <xf numFmtId="0" fontId="2" fillId="0" borderId="29" xfId="0" applyFont="1" applyBorder="1"/>
    <xf numFmtId="0" fontId="2" fillId="2" borderId="61" xfId="1" applyFont="1" applyBorder="1"/>
    <xf numFmtId="0" fontId="0" fillId="0" borderId="67" xfId="0" applyBorder="1"/>
    <xf numFmtId="0" fontId="0" fillId="0" borderId="39" xfId="0" applyBorder="1"/>
    <xf numFmtId="0" fontId="0" fillId="0" borderId="68" xfId="0" applyBorder="1"/>
    <xf numFmtId="0" fontId="1" fillId="2" borderId="69" xfId="1" applyBorder="1"/>
    <xf numFmtId="0" fontId="1" fillId="2" borderId="69" xfId="1" applyFont="1" applyBorder="1"/>
    <xf numFmtId="0" fontId="1" fillId="2" borderId="38" xfId="1" applyFont="1" applyBorder="1"/>
    <xf numFmtId="0" fontId="0" fillId="0" borderId="71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73" xfId="0" applyFont="1" applyBorder="1"/>
    <xf numFmtId="0" fontId="1" fillId="3" borderId="56" xfId="2" applyBorder="1"/>
    <xf numFmtId="0" fontId="1" fillId="3" borderId="75" xfId="2" applyBorder="1"/>
    <xf numFmtId="0" fontId="0" fillId="0" borderId="76" xfId="0" applyBorder="1"/>
    <xf numFmtId="0" fontId="0" fillId="0" borderId="78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31" xfId="0" applyBorder="1"/>
    <xf numFmtId="0" fontId="0" fillId="0" borderId="34" xfId="0" applyNumberFormat="1" applyBorder="1"/>
    <xf numFmtId="0" fontId="0" fillId="0" borderId="81" xfId="0" applyFont="1" applyBorder="1"/>
    <xf numFmtId="0" fontId="0" fillId="0" borderId="26" xfId="0" applyFont="1" applyBorder="1"/>
    <xf numFmtId="0" fontId="0" fillId="0" borderId="29" xfId="0" applyFont="1" applyBorder="1"/>
    <xf numFmtId="0" fontId="0" fillId="0" borderId="74" xfId="0" applyFont="1" applyBorder="1"/>
    <xf numFmtId="0" fontId="2" fillId="3" borderId="37" xfId="2" applyFont="1" applyBorder="1"/>
    <xf numFmtId="0" fontId="0" fillId="0" borderId="27" xfId="0" applyFont="1" applyBorder="1"/>
    <xf numFmtId="0" fontId="2" fillId="3" borderId="38" xfId="2" applyFont="1" applyBorder="1"/>
    <xf numFmtId="0" fontId="0" fillId="0" borderId="18" xfId="0" applyFont="1" applyBorder="1"/>
    <xf numFmtId="0" fontId="0" fillId="0" borderId="25" xfId="0" applyFont="1" applyBorder="1"/>
    <xf numFmtId="0" fontId="2" fillId="3" borderId="47" xfId="2" applyFont="1" applyBorder="1"/>
    <xf numFmtId="0" fontId="0" fillId="0" borderId="42" xfId="0" applyFont="1" applyBorder="1"/>
    <xf numFmtId="0" fontId="0" fillId="0" borderId="33" xfId="0" applyFont="1" applyBorder="1"/>
    <xf numFmtId="0" fontId="2" fillId="0" borderId="34" xfId="0" applyFont="1" applyBorder="1"/>
    <xf numFmtId="0" fontId="2" fillId="0" borderId="77" xfId="0" applyFont="1" applyBorder="1"/>
    <xf numFmtId="0" fontId="0" fillId="0" borderId="83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65" xfId="0" applyFont="1" applyBorder="1"/>
    <xf numFmtId="0" fontId="0" fillId="0" borderId="30" xfId="0" applyFont="1" applyBorder="1"/>
    <xf numFmtId="0" fontId="1" fillId="2" borderId="37" xfId="1" applyFont="1" applyBorder="1"/>
    <xf numFmtId="0" fontId="2" fillId="2" borderId="60" xfId="1" applyFont="1" applyBorder="1"/>
    <xf numFmtId="0" fontId="2" fillId="2" borderId="47" xfId="1" applyFont="1" applyBorder="1"/>
    <xf numFmtId="0" fontId="0" fillId="0" borderId="41" xfId="0" applyFont="1" applyBorder="1"/>
    <xf numFmtId="0" fontId="0" fillId="0" borderId="59" xfId="0" applyFont="1" applyBorder="1"/>
    <xf numFmtId="0" fontId="1" fillId="2" borderId="11" xfId="1" applyFont="1" applyBorder="1"/>
    <xf numFmtId="0" fontId="2" fillId="0" borderId="22" xfId="0" applyFont="1" applyBorder="1"/>
    <xf numFmtId="0" fontId="0" fillId="0" borderId="3" xfId="0" applyFont="1" applyBorder="1"/>
    <xf numFmtId="0" fontId="0" fillId="0" borderId="70" xfId="0" applyFont="1" applyBorder="1"/>
    <xf numFmtId="0" fontId="0" fillId="0" borderId="32" xfId="0" applyFont="1" applyBorder="1"/>
    <xf numFmtId="0" fontId="2" fillId="2" borderId="48" xfId="1" applyFont="1" applyBorder="1"/>
    <xf numFmtId="0" fontId="0" fillId="0" borderId="20" xfId="0" applyFont="1" applyBorder="1"/>
    <xf numFmtId="0" fontId="0" fillId="0" borderId="82" xfId="0" applyFont="1" applyBorder="1"/>
    <xf numFmtId="0" fontId="1" fillId="3" borderId="47" xfId="2" applyFont="1" applyBorder="1"/>
    <xf numFmtId="0" fontId="2" fillId="3" borderId="10" xfId="2" applyFont="1" applyBorder="1"/>
  </cellXfs>
  <cellStyles count="3">
    <cellStyle name="20% - Accent2" xfId="2" builtinId="34"/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topLeftCell="G1" zoomScale="250" zoomScaleNormal="250" workbookViewId="0">
      <selection activeCell="H19" sqref="H19"/>
    </sheetView>
  </sheetViews>
  <sheetFormatPr defaultRowHeight="15" x14ac:dyDescent="0.25"/>
  <cols>
    <col min="1" max="1" width="17.7109375" bestFit="1" customWidth="1"/>
    <col min="2" max="2" width="11.85546875" bestFit="1" customWidth="1"/>
    <col min="3" max="18" width="15.7109375" customWidth="1"/>
  </cols>
  <sheetData>
    <row r="1" spans="1:19" ht="15.75" thickBot="1" x14ac:dyDescent="0.3">
      <c r="A1" s="84" t="s">
        <v>0</v>
      </c>
      <c r="B1" s="87" t="s">
        <v>1</v>
      </c>
      <c r="C1" s="80" t="s">
        <v>2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115"/>
      <c r="S1" s="39"/>
    </row>
    <row r="2" spans="1:19" ht="16.5" thickTop="1" thickBot="1" x14ac:dyDescent="0.3">
      <c r="A2" s="85"/>
      <c r="B2" s="88"/>
      <c r="C2" s="80" t="s">
        <v>16</v>
      </c>
      <c r="D2" s="77"/>
      <c r="E2" s="77"/>
      <c r="F2" s="77"/>
      <c r="G2" s="77"/>
      <c r="H2" s="77"/>
      <c r="I2" s="77"/>
      <c r="J2" s="77"/>
      <c r="K2" s="116" t="s">
        <v>17</v>
      </c>
      <c r="L2" s="117"/>
      <c r="M2" s="117"/>
      <c r="N2" s="117"/>
      <c r="O2" s="117"/>
      <c r="P2" s="117"/>
      <c r="Q2" s="117"/>
      <c r="R2" s="118"/>
      <c r="S2" s="39"/>
    </row>
    <row r="3" spans="1:19" ht="16.5" thickTop="1" thickBot="1" x14ac:dyDescent="0.3">
      <c r="A3" s="86"/>
      <c r="B3" s="89"/>
      <c r="C3" s="78" t="s">
        <v>3</v>
      </c>
      <c r="D3" s="79"/>
      <c r="E3" s="75"/>
      <c r="F3" s="75"/>
      <c r="G3" s="74" t="s">
        <v>4</v>
      </c>
      <c r="H3" s="79"/>
      <c r="I3" s="75"/>
      <c r="J3" s="76"/>
      <c r="K3" s="95" t="s">
        <v>3</v>
      </c>
      <c r="L3" s="96"/>
      <c r="M3" s="96"/>
      <c r="N3" s="96"/>
      <c r="O3" s="98" t="s">
        <v>4</v>
      </c>
      <c r="P3" s="96"/>
      <c r="Q3" s="96"/>
      <c r="R3" s="97"/>
    </row>
    <row r="4" spans="1:19" ht="15.75" thickBot="1" x14ac:dyDescent="0.3">
      <c r="A4" s="86"/>
      <c r="B4" s="90"/>
      <c r="C4" s="55" t="s">
        <v>5</v>
      </c>
      <c r="D4" s="56" t="s">
        <v>15</v>
      </c>
      <c r="E4" s="57" t="s">
        <v>13</v>
      </c>
      <c r="F4" s="58" t="s">
        <v>14</v>
      </c>
      <c r="G4" s="59" t="s">
        <v>5</v>
      </c>
      <c r="H4" s="57" t="s">
        <v>15</v>
      </c>
      <c r="I4" s="60" t="s">
        <v>13</v>
      </c>
      <c r="J4" s="61" t="s">
        <v>14</v>
      </c>
      <c r="K4" s="55" t="s">
        <v>5</v>
      </c>
      <c r="L4" s="57" t="s">
        <v>15</v>
      </c>
      <c r="M4" s="57" t="s">
        <v>13</v>
      </c>
      <c r="N4" s="58" t="s">
        <v>14</v>
      </c>
      <c r="O4" s="59" t="s">
        <v>5</v>
      </c>
      <c r="P4" s="56" t="s">
        <v>15</v>
      </c>
      <c r="Q4" s="60" t="s">
        <v>13</v>
      </c>
      <c r="R4" s="61" t="s">
        <v>14</v>
      </c>
      <c r="S4" s="39"/>
    </row>
    <row r="5" spans="1:19" ht="15.75" thickTop="1" x14ac:dyDescent="0.25">
      <c r="A5" s="81" t="s">
        <v>6</v>
      </c>
      <c r="B5" s="1" t="s">
        <v>7</v>
      </c>
      <c r="C5" s="62">
        <v>11763.28</v>
      </c>
      <c r="D5" s="4">
        <v>1533.94</v>
      </c>
      <c r="E5" s="4">
        <v>15947.88</v>
      </c>
      <c r="F5" s="3">
        <v>473.90940000000001</v>
      </c>
      <c r="G5" s="73">
        <v>22</v>
      </c>
      <c r="H5" s="127">
        <v>24</v>
      </c>
      <c r="I5" s="4">
        <v>21</v>
      </c>
      <c r="J5" s="5">
        <v>24</v>
      </c>
      <c r="K5" s="108">
        <v>11763.28</v>
      </c>
      <c r="L5" s="30">
        <v>254.3031</v>
      </c>
      <c r="M5" s="2">
        <v>17211.82</v>
      </c>
      <c r="N5" s="132">
        <v>525.46299999999997</v>
      </c>
      <c r="O5" s="101">
        <v>22</v>
      </c>
      <c r="P5" s="30">
        <v>24</v>
      </c>
      <c r="Q5" s="4">
        <v>21</v>
      </c>
      <c r="R5" s="5">
        <v>24</v>
      </c>
    </row>
    <row r="6" spans="1:19" x14ac:dyDescent="0.25">
      <c r="A6" s="81"/>
      <c r="B6" s="6" t="s">
        <v>8</v>
      </c>
      <c r="C6" s="119">
        <v>23035.61</v>
      </c>
      <c r="D6" s="23">
        <v>15969.37</v>
      </c>
      <c r="E6" s="8">
        <v>18578.78</v>
      </c>
      <c r="F6" s="9">
        <v>16095.81</v>
      </c>
      <c r="G6" s="128">
        <v>20</v>
      </c>
      <c r="H6" s="43">
        <v>21</v>
      </c>
      <c r="I6" s="8">
        <v>21</v>
      </c>
      <c r="J6" s="40">
        <v>21</v>
      </c>
      <c r="K6" s="109">
        <v>23035.61</v>
      </c>
      <c r="L6" s="102">
        <v>15962.77</v>
      </c>
      <c r="M6" s="8">
        <v>22764.01</v>
      </c>
      <c r="N6" s="40">
        <v>15783.1</v>
      </c>
      <c r="O6" s="24">
        <v>20</v>
      </c>
      <c r="P6" s="23">
        <v>21</v>
      </c>
      <c r="Q6" s="8">
        <v>20</v>
      </c>
      <c r="R6" s="40">
        <v>21</v>
      </c>
      <c r="S6" s="39"/>
    </row>
    <row r="7" spans="1:19" ht="15.75" thickBot="1" x14ac:dyDescent="0.3">
      <c r="A7" s="81"/>
      <c r="B7" s="10" t="s">
        <v>9</v>
      </c>
      <c r="C7" s="63">
        <v>42557.14</v>
      </c>
      <c r="D7" s="65">
        <v>19492.650000000001</v>
      </c>
      <c r="E7" s="11">
        <v>44124.33</v>
      </c>
      <c r="F7" s="120">
        <v>26595.52</v>
      </c>
      <c r="G7" s="129">
        <v>18</v>
      </c>
      <c r="H7" s="65">
        <v>21</v>
      </c>
      <c r="I7" s="11">
        <v>16</v>
      </c>
      <c r="J7" s="130">
        <v>20</v>
      </c>
      <c r="K7" s="104">
        <v>42557.14</v>
      </c>
      <c r="L7" s="65">
        <v>17567.900000000001</v>
      </c>
      <c r="M7" s="11">
        <v>42734.62</v>
      </c>
      <c r="N7" s="133">
        <v>22017.1</v>
      </c>
      <c r="O7" s="104">
        <v>18</v>
      </c>
      <c r="P7" s="65">
        <v>21</v>
      </c>
      <c r="Q7" s="11">
        <v>16</v>
      </c>
      <c r="R7" s="41">
        <v>21</v>
      </c>
    </row>
    <row r="8" spans="1:19" ht="15.75" thickBot="1" x14ac:dyDescent="0.3">
      <c r="A8" s="81"/>
      <c r="B8" s="14" t="s">
        <v>10</v>
      </c>
      <c r="C8" s="15">
        <f>SUM(C5:C7)</f>
        <v>77356.03</v>
      </c>
      <c r="D8" s="122">
        <f>SUM(D5:D7)</f>
        <v>36995.960000000006</v>
      </c>
      <c r="E8" s="16">
        <f t="shared" ref="E8" si="0">SUM(E5:E7)</f>
        <v>78650.989999999991</v>
      </c>
      <c r="F8" s="121">
        <f t="shared" ref="F8:J8" si="1">SUM(F5:F7)</f>
        <v>43165.239399999999</v>
      </c>
      <c r="G8" s="71">
        <f t="shared" si="1"/>
        <v>60</v>
      </c>
      <c r="H8" s="28">
        <f t="shared" ref="H8" si="2">SUM(H5:H7)</f>
        <v>66</v>
      </c>
      <c r="I8" s="16">
        <f t="shared" si="1"/>
        <v>58</v>
      </c>
      <c r="J8" s="121">
        <f t="shared" si="1"/>
        <v>65</v>
      </c>
      <c r="K8" s="92">
        <f>SUM(K5:K7)</f>
        <v>77356.03</v>
      </c>
      <c r="L8" s="107">
        <f>SUM(L5:L7)</f>
        <v>33784.973100000003</v>
      </c>
      <c r="M8" s="45">
        <f>SUM(M5:M7)</f>
        <v>82710.450000000012</v>
      </c>
      <c r="N8" s="134">
        <f t="shared" ref="N8:P8" si="3">SUM(N5:N7)</f>
        <v>38325.663</v>
      </c>
      <c r="O8" s="46">
        <f t="shared" si="3"/>
        <v>60</v>
      </c>
      <c r="P8" s="107">
        <f t="shared" si="3"/>
        <v>66</v>
      </c>
      <c r="Q8" s="46">
        <f t="shared" ref="Q8:R8" si="4">SUM(Q5:Q7)</f>
        <v>57</v>
      </c>
      <c r="R8" s="105">
        <f t="shared" si="4"/>
        <v>66</v>
      </c>
      <c r="S8" s="39"/>
    </row>
    <row r="9" spans="1:19" x14ac:dyDescent="0.25">
      <c r="A9" s="82" t="s">
        <v>11</v>
      </c>
      <c r="B9" s="17" t="s">
        <v>7</v>
      </c>
      <c r="C9" s="30">
        <v>18.09</v>
      </c>
      <c r="D9" s="18">
        <v>25.503340000000001</v>
      </c>
      <c r="E9" s="111">
        <v>35.486919999999998</v>
      </c>
      <c r="F9" s="19">
        <v>44.266109999999998</v>
      </c>
      <c r="G9" s="69">
        <v>24</v>
      </c>
      <c r="H9" s="54">
        <v>24</v>
      </c>
      <c r="I9" s="2">
        <v>24</v>
      </c>
      <c r="J9" s="21">
        <v>24</v>
      </c>
      <c r="K9" s="91">
        <v>18.09</v>
      </c>
      <c r="L9" s="54">
        <v>45.549410000000002</v>
      </c>
      <c r="M9" s="111">
        <v>58.932989999999997</v>
      </c>
      <c r="N9" s="19">
        <v>47.356400000000001</v>
      </c>
      <c r="O9" s="20">
        <v>24</v>
      </c>
      <c r="P9" s="94">
        <v>24</v>
      </c>
      <c r="Q9" s="2">
        <v>24</v>
      </c>
      <c r="R9" s="21">
        <v>24</v>
      </c>
    </row>
    <row r="10" spans="1:19" x14ac:dyDescent="0.25">
      <c r="A10" s="82"/>
      <c r="B10" s="22" t="s">
        <v>8</v>
      </c>
      <c r="C10" s="8">
        <v>10491.134309999999</v>
      </c>
      <c r="D10" s="8">
        <v>10237.879999999999</v>
      </c>
      <c r="E10" s="102">
        <v>10138.61</v>
      </c>
      <c r="F10" s="40">
        <v>1719.7260000000001</v>
      </c>
      <c r="G10" s="24">
        <v>22</v>
      </c>
      <c r="H10" s="44">
        <v>22</v>
      </c>
      <c r="I10" s="102">
        <v>22</v>
      </c>
      <c r="J10" s="52">
        <v>24</v>
      </c>
      <c r="K10" s="109">
        <v>10491.134309999999</v>
      </c>
      <c r="L10" s="44">
        <v>10110.92</v>
      </c>
      <c r="M10" s="23">
        <v>10019.17</v>
      </c>
      <c r="N10" s="9">
        <v>10124.4</v>
      </c>
      <c r="O10" s="24">
        <v>22</v>
      </c>
      <c r="P10" s="44">
        <v>22</v>
      </c>
      <c r="Q10" s="23">
        <v>23</v>
      </c>
      <c r="R10" s="106">
        <v>22</v>
      </c>
      <c r="S10" s="39"/>
    </row>
    <row r="11" spans="1:19" ht="15.75" thickBot="1" x14ac:dyDescent="0.3">
      <c r="A11" s="82"/>
      <c r="B11" s="25" t="s">
        <v>9</v>
      </c>
      <c r="C11" s="12">
        <v>11762.97784</v>
      </c>
      <c r="D11" s="12">
        <v>10646.14</v>
      </c>
      <c r="E11" s="112">
        <v>935.60699999999997</v>
      </c>
      <c r="F11" s="113">
        <v>363.31479999999999</v>
      </c>
      <c r="G11" s="67">
        <v>22</v>
      </c>
      <c r="H11" s="11">
        <v>22</v>
      </c>
      <c r="I11" s="26">
        <v>24</v>
      </c>
      <c r="J11" s="41">
        <v>24</v>
      </c>
      <c r="K11" s="100">
        <v>11762.97784</v>
      </c>
      <c r="L11" s="12">
        <v>9970.893</v>
      </c>
      <c r="M11" s="112">
        <v>835.88440000000003</v>
      </c>
      <c r="N11" s="113">
        <v>278.596</v>
      </c>
      <c r="O11" s="99">
        <v>22</v>
      </c>
      <c r="P11" s="11">
        <v>23</v>
      </c>
      <c r="Q11" s="26">
        <v>24</v>
      </c>
      <c r="R11" s="41">
        <v>24</v>
      </c>
    </row>
    <row r="12" spans="1:19" ht="15.75" thickBot="1" x14ac:dyDescent="0.3">
      <c r="A12" s="82"/>
      <c r="B12" s="27" t="s">
        <v>10</v>
      </c>
      <c r="C12" s="42">
        <f>SUM(C9:C11)</f>
        <v>22272.202149999997</v>
      </c>
      <c r="D12" s="16">
        <f>SUM(D9:D11)</f>
        <v>20909.52334</v>
      </c>
      <c r="E12" s="72">
        <f>SUM(E9:E11)</f>
        <v>11109.70392</v>
      </c>
      <c r="F12" s="123">
        <f t="shared" ref="F12:I12" si="5">SUM(F9:F11)</f>
        <v>2127.3069100000002</v>
      </c>
      <c r="G12" s="70">
        <f t="shared" si="5"/>
        <v>68</v>
      </c>
      <c r="H12" s="16">
        <f t="shared" ref="H12" si="6">SUM(H9:H11)</f>
        <v>68</v>
      </c>
      <c r="I12" s="72">
        <f t="shared" si="5"/>
        <v>70</v>
      </c>
      <c r="J12" s="131">
        <f>SUM(J9:J11)</f>
        <v>72</v>
      </c>
      <c r="K12" s="92">
        <f>SUM(K9:K11)</f>
        <v>22272.202149999997</v>
      </c>
      <c r="L12" s="46">
        <f>SUM(L9:L11)</f>
        <v>20127.362410000002</v>
      </c>
      <c r="M12" s="46">
        <f>SUM(M9:M11)</f>
        <v>10913.98739</v>
      </c>
      <c r="N12" s="110">
        <f t="shared" ref="N12" si="7">SUM(N9:N11)</f>
        <v>10450.3524</v>
      </c>
      <c r="O12" s="46">
        <f>SUM(O9:O11)</f>
        <v>68</v>
      </c>
      <c r="P12" s="46">
        <f>SUM(P9:P11)</f>
        <v>69</v>
      </c>
      <c r="Q12" s="107">
        <f t="shared" ref="Q12" si="8">SUM(Q9:Q11)</f>
        <v>71</v>
      </c>
      <c r="R12" s="47">
        <f>SUM(R9:R11)</f>
        <v>70</v>
      </c>
    </row>
    <row r="13" spans="1:19" x14ac:dyDescent="0.25">
      <c r="A13" s="81" t="s">
        <v>12</v>
      </c>
      <c r="B13" s="29" t="s">
        <v>7</v>
      </c>
      <c r="C13" s="30">
        <v>6.3201721300000004</v>
      </c>
      <c r="D13" s="124">
        <v>22.367339999999999</v>
      </c>
      <c r="E13" s="2">
        <v>26.65014</v>
      </c>
      <c r="F13" s="31">
        <v>41.573369999999997</v>
      </c>
      <c r="G13" s="69">
        <v>24</v>
      </c>
      <c r="H13" s="54">
        <v>24</v>
      </c>
      <c r="I13" s="2">
        <v>24</v>
      </c>
      <c r="J13" s="31">
        <v>24</v>
      </c>
      <c r="K13" s="53">
        <v>6.3201721300000004</v>
      </c>
      <c r="L13" s="111">
        <v>20.904800000000002</v>
      </c>
      <c r="M13" s="2">
        <v>45.864530000000002</v>
      </c>
      <c r="N13" s="31">
        <v>46.812060000000002</v>
      </c>
      <c r="O13" s="20">
        <v>24</v>
      </c>
      <c r="P13" s="54">
        <v>24</v>
      </c>
      <c r="Q13" s="2">
        <v>24</v>
      </c>
      <c r="R13" s="31">
        <v>24</v>
      </c>
      <c r="S13" s="39"/>
    </row>
    <row r="14" spans="1:19" x14ac:dyDescent="0.25">
      <c r="A14" s="81"/>
      <c r="B14" s="32" t="s">
        <v>8</v>
      </c>
      <c r="C14" s="7">
        <v>24.887712709999999</v>
      </c>
      <c r="D14" s="125">
        <v>52.777380000000001</v>
      </c>
      <c r="E14" s="8">
        <v>45.824199999999998</v>
      </c>
      <c r="F14" s="9">
        <v>82.702619999999996</v>
      </c>
      <c r="G14" s="68">
        <v>24</v>
      </c>
      <c r="H14" s="8">
        <v>24</v>
      </c>
      <c r="I14" s="8">
        <v>24</v>
      </c>
      <c r="J14" s="9">
        <v>24</v>
      </c>
      <c r="K14" s="7">
        <v>24.887712709999999</v>
      </c>
      <c r="L14" s="102">
        <v>67.627840000000006</v>
      </c>
      <c r="M14" s="8">
        <v>38.798310000000001</v>
      </c>
      <c r="N14" s="9">
        <v>33.50853</v>
      </c>
      <c r="O14" s="24">
        <v>24</v>
      </c>
      <c r="P14" s="8">
        <v>24</v>
      </c>
      <c r="Q14" s="8">
        <v>24</v>
      </c>
      <c r="R14" s="9">
        <v>24</v>
      </c>
      <c r="S14" s="39"/>
    </row>
    <row r="15" spans="1:19" ht="15.75" thickBot="1" x14ac:dyDescent="0.3">
      <c r="A15" s="81"/>
      <c r="B15" s="33" t="s">
        <v>9</v>
      </c>
      <c r="C15" s="64">
        <v>26.39</v>
      </c>
      <c r="D15" s="103">
        <v>48.483930000000001</v>
      </c>
      <c r="E15" s="12">
        <v>76.351060000000004</v>
      </c>
      <c r="F15" s="13">
        <v>88.108360000000005</v>
      </c>
      <c r="G15" s="67">
        <v>24</v>
      </c>
      <c r="H15" s="11">
        <v>24</v>
      </c>
      <c r="I15" s="12">
        <v>24</v>
      </c>
      <c r="J15" s="13">
        <v>24</v>
      </c>
      <c r="K15" s="114">
        <v>26.39</v>
      </c>
      <c r="L15" s="103">
        <v>79.353750000000005</v>
      </c>
      <c r="M15" s="12">
        <v>72.841210000000004</v>
      </c>
      <c r="N15" s="13">
        <v>45.522759999999998</v>
      </c>
      <c r="O15" s="99">
        <v>24</v>
      </c>
      <c r="P15" s="11">
        <v>24</v>
      </c>
      <c r="Q15" s="12">
        <v>24</v>
      </c>
      <c r="R15" s="13">
        <v>24</v>
      </c>
      <c r="S15" s="39"/>
    </row>
    <row r="16" spans="1:19" ht="15.75" thickBot="1" x14ac:dyDescent="0.3">
      <c r="A16" s="83"/>
      <c r="B16" s="34" t="s">
        <v>10</v>
      </c>
      <c r="C16" s="66">
        <f>SUM(C13:C15)</f>
        <v>57.597884839999999</v>
      </c>
      <c r="D16" s="126">
        <f>SUM(D13:D15)</f>
        <v>123.62865000000001</v>
      </c>
      <c r="E16" s="35">
        <f>SUM(E13:E15)</f>
        <v>148.8254</v>
      </c>
      <c r="F16" s="36">
        <f t="shared" ref="F16:J16" si="9">SUM(F13:F15)</f>
        <v>212.38434999999998</v>
      </c>
      <c r="G16" s="37">
        <f t="shared" si="9"/>
        <v>72</v>
      </c>
      <c r="H16" s="37">
        <f t="shared" ref="H16" si="10">SUM(H13:H15)</f>
        <v>72</v>
      </c>
      <c r="I16" s="35">
        <f t="shared" si="9"/>
        <v>72</v>
      </c>
      <c r="J16" s="38">
        <f t="shared" si="9"/>
        <v>72</v>
      </c>
      <c r="K16" s="135">
        <f>SUM(K13:K15)</f>
        <v>57.597884839999999</v>
      </c>
      <c r="L16" s="93">
        <f>SUM(L13:L15)</f>
        <v>167.88639000000001</v>
      </c>
      <c r="M16" s="48">
        <f>SUM(M13:M15)</f>
        <v>157.50405000000001</v>
      </c>
      <c r="N16" s="49">
        <f t="shared" ref="N16" si="11">SUM(N13:N15)</f>
        <v>125.84335000000002</v>
      </c>
      <c r="O16" s="48">
        <f>SUM(O13:O15)</f>
        <v>72</v>
      </c>
      <c r="P16" s="48">
        <f>SUM(P13:P15)</f>
        <v>72</v>
      </c>
      <c r="Q16" s="48">
        <f t="shared" ref="Q16:R16" si="12">SUM(Q13:Q15)</f>
        <v>72</v>
      </c>
      <c r="R16" s="50">
        <f t="shared" si="12"/>
        <v>72</v>
      </c>
    </row>
    <row r="17" spans="4:4" ht="15.75" thickTop="1" x14ac:dyDescent="0.25">
      <c r="D17" s="51"/>
    </row>
  </sheetData>
  <mergeCells count="12">
    <mergeCell ref="A5:A8"/>
    <mergeCell ref="A9:A12"/>
    <mergeCell ref="A13:A16"/>
    <mergeCell ref="A1:A4"/>
    <mergeCell ref="B1:B4"/>
    <mergeCell ref="C1:R1"/>
    <mergeCell ref="C3:F3"/>
    <mergeCell ref="G3:J3"/>
    <mergeCell ref="C2:J2"/>
    <mergeCell ref="K3:N3"/>
    <mergeCell ref="O3:R3"/>
    <mergeCell ref="K2:R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PC</cp:lastModifiedBy>
  <dcterms:created xsi:type="dcterms:W3CDTF">2026-04-04T05:00:12Z</dcterms:created>
  <dcterms:modified xsi:type="dcterms:W3CDTF">2026-04-08T16:32:02Z</dcterms:modified>
</cp:coreProperties>
</file>