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2" i="1"/>
  <c r="H8" i="1"/>
  <c r="D16" i="1"/>
  <c r="D12" i="1"/>
  <c r="D8" i="1"/>
  <c r="P16" i="1"/>
  <c r="O16" i="1"/>
  <c r="N16" i="1"/>
  <c r="M16" i="1"/>
  <c r="L16" i="1"/>
  <c r="K16" i="1"/>
  <c r="P12" i="1"/>
  <c r="O12" i="1"/>
  <c r="N12" i="1"/>
  <c r="M12" i="1"/>
  <c r="L12" i="1"/>
  <c r="K12" i="1"/>
  <c r="P8" i="1"/>
  <c r="O8" i="1"/>
  <c r="N8" i="1"/>
  <c r="M8" i="1"/>
  <c r="L8" i="1"/>
  <c r="K8" i="1"/>
  <c r="E8" i="1" l="1"/>
  <c r="E12" i="1"/>
  <c r="E16" i="1"/>
  <c r="I8" i="1"/>
  <c r="I12" i="1"/>
  <c r="I16" i="1"/>
  <c r="J16" i="1"/>
  <c r="G16" i="1"/>
  <c r="F16" i="1"/>
  <c r="C16" i="1"/>
  <c r="J12" i="1"/>
  <c r="G12" i="1"/>
  <c r="F12" i="1"/>
  <c r="C12" i="1"/>
  <c r="J8" i="1"/>
  <c r="G8" i="1"/>
  <c r="F8" i="1"/>
  <c r="C8" i="1"/>
</calcChain>
</file>

<file path=xl/sharedStrings.xml><?xml version="1.0" encoding="utf-8"?>
<sst xmlns="http://schemas.openxmlformats.org/spreadsheetml/2006/main" count="38" uniqueCount="18">
  <si>
    <t>Objective function</t>
  </si>
  <si>
    <t>Set</t>
  </si>
  <si>
    <t>120 seconds timeout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</si>
  <si>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</si>
  <si>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</si>
  <si>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</si>
  <si>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</si>
  <si>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</si>
  <si>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</si>
  <si>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</si>
  <si>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</si>
  <si>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</si>
  <si>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</si>
  <si>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SAT Incr SCPB</t>
  </si>
  <si>
    <t>SAT Incr Totalizer</t>
  </si>
  <si>
    <t>Maxsat SCL</t>
  </si>
  <si>
    <t>Without Precedence Graph</t>
  </si>
  <si>
    <t>With precedence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</si>
</sst>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7">
    <xf numFmtId="0" fontId="0" fillId="0" borderId="0" xfId="0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20" xfId="0" applyFont="1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0" fillId="0" borderId="24" xfId="0" applyBorder="1"/>
    <xf numFmtId="0" fontId="2" fillId="0" borderId="25" xfId="0" applyFont="1" applyBorder="1"/>
    <xf numFmtId="0" fontId="0" fillId="0" borderId="26" xfId="0" applyBorder="1"/>
    <xf numFmtId="0" fontId="0" fillId="0" borderId="27" xfId="0" applyBorder="1"/>
    <xf numFmtId="0" fontId="2" fillId="0" borderId="3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31" xfId="0" applyFont="1" applyBorder="1"/>
    <xf numFmtId="0" fontId="2" fillId="0" borderId="32" xfId="0" applyFont="1" applyBorder="1"/>
    <xf numFmtId="0" fontId="0" fillId="0" borderId="33" xfId="0" applyBorder="1"/>
    <xf numFmtId="0" fontId="2" fillId="0" borderId="29" xfId="0" applyFont="1" applyBorder="1"/>
    <xf numFmtId="0" fontId="0" fillId="0" borderId="34" xfId="0" applyBorder="1"/>
    <xf numFmtId="0" fontId="0" fillId="0" borderId="36" xfId="0" applyBorder="1"/>
    <xf numFmtId="0" fontId="1" fillId="2" borderId="37" xfId="1" applyBorder="1"/>
    <xf numFmtId="0" fontId="1" fillId="2" borderId="38" xfId="1" applyBorder="1"/>
    <xf numFmtId="0" fontId="1" fillId="2" borderId="14" xfId="1" applyBorder="1"/>
    <xf numFmtId="0" fontId="2" fillId="2" borderId="39" xfId="1" applyFont="1" applyBorder="1"/>
    <xf numFmtId="0" fontId="1" fillId="2" borderId="41" xfId="1" applyBorder="1"/>
    <xf numFmtId="0" fontId="0" fillId="0" borderId="43" xfId="0" applyBorder="1"/>
    <xf numFmtId="0" fontId="0" fillId="0" borderId="44" xfId="0" applyBorder="1"/>
    <xf numFmtId="0" fontId="2" fillId="0" borderId="45" xfId="0" applyFont="1" applyBorder="1"/>
    <xf numFmtId="0" fontId="0" fillId="0" borderId="46" xfId="0" applyBorder="1"/>
    <xf numFmtId="0" fontId="0" fillId="0" borderId="1" xfId="0" applyBorder="1"/>
    <xf numFmtId="0" fontId="0" fillId="0" borderId="2" xfId="0" applyBorder="1"/>
    <xf numFmtId="0" fontId="0" fillId="0" borderId="47" xfId="0" applyBorder="1"/>
    <xf numFmtId="0" fontId="2" fillId="0" borderId="26" xfId="0" applyFont="1" applyBorder="1"/>
    <xf numFmtId="0" fontId="0" fillId="0" borderId="3" xfId="0" applyBorder="1"/>
    <xf numFmtId="0" fontId="0" fillId="0" borderId="48" xfId="0" applyBorder="1"/>
    <xf numFmtId="0" fontId="2" fillId="0" borderId="34" xfId="0" applyFont="1" applyBorder="1"/>
    <xf numFmtId="0" fontId="0" fillId="0" borderId="35" xfId="0" applyBorder="1"/>
    <xf numFmtId="0" fontId="1" fillId="2" borderId="49" xfId="1" applyBorder="1"/>
    <xf numFmtId="0" fontId="2" fillId="2" borderId="41" xfId="1" applyFont="1" applyBorder="1"/>
    <xf numFmtId="0" fontId="1" fillId="2" borderId="50" xfId="1" applyBorder="1"/>
    <xf numFmtId="0" fontId="1" fillId="2" borderId="51" xfId="1" applyBorder="1"/>
    <xf numFmtId="0" fontId="0" fillId="0" borderId="52" xfId="0" applyBorder="1"/>
    <xf numFmtId="0" fontId="2" fillId="0" borderId="44" xfId="0" applyFont="1" applyBorder="1"/>
    <xf numFmtId="0" fontId="0" fillId="0" borderId="20" xfId="0" applyBorder="1"/>
    <xf numFmtId="0" fontId="0" fillId="0" borderId="53" xfId="0" applyBorder="1"/>
    <xf numFmtId="0" fontId="0" fillId="0" borderId="54" xfId="0" applyBorder="1"/>
    <xf numFmtId="0" fontId="1" fillId="2" borderId="56" xfId="1" applyBorder="1"/>
    <xf numFmtId="0" fontId="1" fillId="2" borderId="11" xfId="1" applyBorder="1"/>
    <xf numFmtId="0" fontId="1" fillId="2" borderId="12" xfId="1" applyBorder="1"/>
    <xf numFmtId="0" fontId="1" fillId="2" borderId="13" xfId="1" applyBorder="1"/>
    <xf numFmtId="0" fontId="1" fillId="2" borderId="15" xfId="1" applyBorder="1"/>
    <xf numFmtId="0" fontId="0" fillId="0" borderId="58" xfId="0" applyBorder="1"/>
    <xf numFmtId="0" fontId="2" fillId="0" borderId="27" xfId="0" applyFont="1" applyBorder="1"/>
    <xf numFmtId="0" fontId="2" fillId="0" borderId="33" xfId="0" applyFont="1" applyBorder="1"/>
    <xf numFmtId="0" fontId="1" fillId="2" borderId="60" xfId="1" applyBorder="1"/>
    <xf numFmtId="0" fontId="2" fillId="0" borderId="63" xfId="0" applyFont="1" applyBorder="1"/>
    <xf numFmtId="0" fontId="1" fillId="2" borderId="64" xfId="1" applyBorder="1"/>
    <xf numFmtId="0" fontId="0" fillId="0" borderId="63" xfId="0" applyBorder="1"/>
    <xf numFmtId="0" fontId="1" fillId="3" borderId="38" xfId="2" applyBorder="1"/>
    <xf numFmtId="0" fontId="1" fillId="3" borderId="14" xfId="2" applyBorder="1"/>
    <xf numFmtId="0" fontId="1" fillId="3" borderId="39" xfId="2" applyBorder="1"/>
    <xf numFmtId="0" fontId="1" fillId="3" borderId="40" xfId="2" applyBorder="1"/>
    <xf numFmtId="0" fontId="1" fillId="3" borderId="41" xfId="2" applyBorder="1"/>
    <xf numFmtId="0" fontId="1" fillId="3" borderId="50" xfId="2" applyBorder="1"/>
    <xf numFmtId="0" fontId="1" fillId="3" borderId="51" xfId="2" applyBorder="1"/>
    <xf numFmtId="0" fontId="1" fillId="3" borderId="57" xfId="2" applyBorder="1"/>
    <xf numFmtId="0" fontId="1" fillId="3" borderId="11" xfId="2" applyBorder="1"/>
    <xf numFmtId="0" fontId="1" fillId="3" borderId="12" xfId="2" applyBorder="1"/>
    <xf numFmtId="0" fontId="1" fillId="3" borderId="13" xfId="2" applyBorder="1"/>
    <xf numFmtId="0" fontId="1" fillId="3" borderId="15" xfId="2" applyBorder="1"/>
    <xf numFmtId="0" fontId="0" fillId="0" borderId="66" xfId="0" applyBorder="1"/>
    <xf numFmtId="0" fontId="2" fillId="0" borderId="4" xfId="0" applyFont="1" applyBorder="1"/>
    <xf numFmtId="0" fontId="2" fillId="0" borderId="67" xfId="0" applyFont="1" applyBorder="1"/>
    <xf numFmtId="0" fontId="2" fillId="2" borderId="11" xfId="1" applyFont="1" applyBorder="1"/>
    <xf numFmtId="0" fontId="0" fillId="0" borderId="45" xfId="0" applyBorder="1"/>
    <xf numFmtId="0" fontId="0" fillId="0" borderId="10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68" xfId="0" applyBorder="1"/>
    <xf numFmtId="0" fontId="2" fillId="0" borderId="69" xfId="0" applyFont="1" applyBorder="1"/>
    <xf numFmtId="0" fontId="0" fillId="0" borderId="70" xfId="0" applyBorder="1"/>
    <xf numFmtId="0" fontId="2" fillId="0" borderId="70" xfId="0" applyFont="1" applyBorder="1"/>
    <xf numFmtId="0" fontId="2" fillId="0" borderId="30" xfId="0" applyFont="1" applyBorder="1"/>
    <xf numFmtId="0" fontId="2" fillId="2" borderId="65" xfId="1" applyFont="1" applyBorder="1"/>
    <xf numFmtId="0" fontId="0" fillId="0" borderId="71" xfId="0" applyBorder="1"/>
    <xf numFmtId="0" fontId="0" fillId="0" borderId="42" xfId="0" applyBorder="1"/>
    <xf numFmtId="0" fontId="0" fillId="0" borderId="72" xfId="0" applyBorder="1"/>
    <xf numFmtId="0" fontId="1" fillId="2" borderId="73" xfId="1" applyBorder="1"/>
    <xf numFmtId="0" fontId="2" fillId="0" borderId="74" xfId="0" applyFont="1" applyBorder="1"/>
    <xf numFmtId="0" fontId="1" fillId="2" borderId="73" xfId="1" applyFont="1" applyBorder="1"/>
    <xf numFmtId="0" fontId="1" fillId="2" borderId="41" xfId="1" applyFont="1" applyBorder="1"/>
    <xf numFmtId="0" fontId="0" fillId="0" borderId="75" xfId="0" applyBorder="1"/>
    <xf numFmtId="0" fontId="0" fillId="0" borderId="1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5" xfId="0" applyBorder="1" applyAlignment="1">
      <alignment horizontal="center"/>
    </xf>
  </cellXfs>
  <cellStyles count="3">
    <cellStyle name="20% - Accent2" xfId="2" builtinId="34"/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N1" zoomScale="145" zoomScaleNormal="145" workbookViewId="0">
      <selection activeCell="Q6" sqref="Q6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16" width="15.7109375" customWidth="1"/>
  </cols>
  <sheetData>
    <row r="1" spans="1:17" x14ac:dyDescent="0.25">
      <c r="A1" s="101" t="s">
        <v>0</v>
      </c>
      <c r="B1" s="104" t="s">
        <v>1</v>
      </c>
      <c r="C1" s="112" t="s">
        <v>2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7" ht="15.75" thickBot="1" x14ac:dyDescent="0.3">
      <c r="A2" s="102"/>
      <c r="B2" s="105"/>
      <c r="C2" s="116" t="s">
        <v>16</v>
      </c>
      <c r="D2" s="111"/>
      <c r="E2" s="111"/>
      <c r="F2" s="111"/>
      <c r="G2" s="111"/>
      <c r="H2" s="111"/>
      <c r="I2" s="111"/>
      <c r="J2" s="111"/>
      <c r="K2" s="111" t="s">
        <v>17</v>
      </c>
      <c r="L2" s="111"/>
      <c r="M2" s="111"/>
      <c r="N2" s="111"/>
      <c r="O2" s="111"/>
      <c r="P2" s="111"/>
    </row>
    <row r="3" spans="1:17" ht="16.5" thickTop="1" thickBot="1" x14ac:dyDescent="0.3">
      <c r="A3" s="103"/>
      <c r="B3" s="106"/>
      <c r="C3" s="114" t="s">
        <v>3</v>
      </c>
      <c r="D3" s="115"/>
      <c r="E3" s="109"/>
      <c r="F3" s="109"/>
      <c r="G3" s="108" t="s">
        <v>4</v>
      </c>
      <c r="H3" s="115"/>
      <c r="I3" s="109"/>
      <c r="J3" s="110"/>
      <c r="K3" s="114" t="s">
        <v>3</v>
      </c>
      <c r="L3" s="109"/>
      <c r="M3" s="109"/>
      <c r="N3" s="108" t="s">
        <v>4</v>
      </c>
      <c r="O3" s="109"/>
      <c r="P3" s="110"/>
    </row>
    <row r="4" spans="1:17" ht="15.75" thickBot="1" x14ac:dyDescent="0.3">
      <c r="A4" s="103"/>
      <c r="B4" s="107"/>
      <c r="C4" s="77" t="s">
        <v>5</v>
      </c>
      <c r="D4" s="78" t="s">
        <v>15</v>
      </c>
      <c r="E4" s="79" t="s">
        <v>13</v>
      </c>
      <c r="F4" s="80" t="s">
        <v>14</v>
      </c>
      <c r="G4" s="81" t="s">
        <v>5</v>
      </c>
      <c r="H4" s="79" t="s">
        <v>15</v>
      </c>
      <c r="I4" s="82" t="s">
        <v>13</v>
      </c>
      <c r="J4" s="83" t="s">
        <v>14</v>
      </c>
      <c r="K4" s="77" t="s">
        <v>15</v>
      </c>
      <c r="L4" s="79" t="s">
        <v>13</v>
      </c>
      <c r="M4" s="80" t="s">
        <v>14</v>
      </c>
      <c r="N4" s="81" t="s">
        <v>15</v>
      </c>
      <c r="O4" s="82" t="s">
        <v>13</v>
      </c>
      <c r="P4" s="83" t="s">
        <v>14</v>
      </c>
      <c r="Q4" s="53"/>
    </row>
    <row r="5" spans="1:17" ht="15.75" thickTop="1" x14ac:dyDescent="0.25">
      <c r="A5" s="98" t="s">
        <v>6</v>
      </c>
      <c r="B5" s="1" t="s">
        <v>7</v>
      </c>
      <c r="C5" s="84">
        <v>11763.28</v>
      </c>
      <c r="D5" s="6"/>
      <c r="E5" s="3"/>
      <c r="F5" s="4"/>
      <c r="G5" s="97"/>
      <c r="H5" s="6"/>
      <c r="I5" s="6"/>
      <c r="J5" s="7"/>
      <c r="K5" s="2">
        <v>41110.400000000001</v>
      </c>
      <c r="L5" s="3">
        <v>17211.82</v>
      </c>
      <c r="M5" s="4"/>
      <c r="N5" s="5">
        <v>16</v>
      </c>
      <c r="O5" s="6">
        <v>21</v>
      </c>
      <c r="P5" s="7"/>
    </row>
    <row r="6" spans="1:17" x14ac:dyDescent="0.25">
      <c r="A6" s="98"/>
      <c r="B6" s="8" t="s">
        <v>8</v>
      </c>
      <c r="C6" s="85">
        <v>23035.61</v>
      </c>
      <c r="D6" s="34"/>
      <c r="E6" s="10"/>
      <c r="F6" s="11"/>
      <c r="G6" s="12"/>
      <c r="H6" s="57"/>
      <c r="I6" s="10"/>
      <c r="J6" s="54"/>
      <c r="K6" s="9">
        <v>53576.2</v>
      </c>
      <c r="L6" s="10">
        <v>22764.01</v>
      </c>
      <c r="M6" s="11"/>
      <c r="N6" s="12">
        <v>14</v>
      </c>
      <c r="O6" s="10">
        <v>20</v>
      </c>
      <c r="P6" s="54"/>
      <c r="Q6" s="53"/>
    </row>
    <row r="7" spans="1:17" ht="15.75" thickBot="1" x14ac:dyDescent="0.3">
      <c r="A7" s="98"/>
      <c r="B7" s="13" t="s">
        <v>9</v>
      </c>
      <c r="C7" s="86">
        <v>42557.14</v>
      </c>
      <c r="D7" s="15"/>
      <c r="E7" s="15"/>
      <c r="F7" s="16"/>
      <c r="G7" s="94"/>
      <c r="H7" s="88"/>
      <c r="I7" s="15"/>
      <c r="J7" s="55"/>
      <c r="K7" s="14">
        <v>60763.3</v>
      </c>
      <c r="L7" s="15">
        <v>42734.62</v>
      </c>
      <c r="M7" s="16"/>
      <c r="N7" s="17">
        <v>14</v>
      </c>
      <c r="O7" s="15">
        <v>16</v>
      </c>
      <c r="P7" s="55"/>
    </row>
    <row r="8" spans="1:17" ht="15.75" thickBot="1" x14ac:dyDescent="0.3">
      <c r="A8" s="98"/>
      <c r="B8" s="22" t="s">
        <v>10</v>
      </c>
      <c r="C8" s="23">
        <f>SUM(C5:C7)</f>
        <v>77356.03</v>
      </c>
      <c r="D8" s="58">
        <f>SUM(D5:D7)</f>
        <v>0</v>
      </c>
      <c r="E8" s="24">
        <f>SUM(E5:E7)</f>
        <v>0</v>
      </c>
      <c r="F8" s="25">
        <f t="shared" ref="F8:J8" si="0">SUM(F5:F7)</f>
        <v>0</v>
      </c>
      <c r="G8" s="95">
        <f t="shared" si="0"/>
        <v>0</v>
      </c>
      <c r="H8" s="96">
        <f t="shared" ref="H8" si="1">SUM(H5:H7)</f>
        <v>0</v>
      </c>
      <c r="I8" s="26">
        <f t="shared" si="0"/>
        <v>0</v>
      </c>
      <c r="J8" s="25">
        <f t="shared" si="0"/>
        <v>0</v>
      </c>
      <c r="K8" s="60">
        <f>SUM(K5:K7)</f>
        <v>155449.90000000002</v>
      </c>
      <c r="L8" s="61">
        <f>SUM(L5:L7)</f>
        <v>82710.450000000012</v>
      </c>
      <c r="M8" s="62">
        <f t="shared" ref="M8:N8" si="2">SUM(M5:M7)</f>
        <v>0</v>
      </c>
      <c r="N8" s="63">
        <f t="shared" si="2"/>
        <v>44</v>
      </c>
      <c r="O8" s="64">
        <f t="shared" ref="O8:P8" si="3">SUM(O5:O7)</f>
        <v>57</v>
      </c>
      <c r="P8" s="62">
        <f t="shared" si="3"/>
        <v>0</v>
      </c>
      <c r="Q8" s="53"/>
    </row>
    <row r="9" spans="1:17" x14ac:dyDescent="0.25">
      <c r="A9" s="99" t="s">
        <v>11</v>
      </c>
      <c r="B9" s="27" t="s">
        <v>7</v>
      </c>
      <c r="C9" s="28">
        <v>18.09</v>
      </c>
      <c r="D9" s="28"/>
      <c r="E9" s="29"/>
      <c r="F9" s="30"/>
      <c r="G9" s="92"/>
      <c r="H9" s="76"/>
      <c r="I9" s="3"/>
      <c r="J9" s="32"/>
      <c r="K9" s="28">
        <v>26.39076</v>
      </c>
      <c r="L9" s="29">
        <v>58.932989999999997</v>
      </c>
      <c r="M9" s="30"/>
      <c r="N9" s="31">
        <v>24</v>
      </c>
      <c r="O9" s="3">
        <v>24</v>
      </c>
      <c r="P9" s="32"/>
    </row>
    <row r="10" spans="1:17" x14ac:dyDescent="0.25">
      <c r="A10" s="99"/>
      <c r="B10" s="33" t="s">
        <v>8</v>
      </c>
      <c r="C10" s="10">
        <v>10491.134309999999</v>
      </c>
      <c r="D10" s="10"/>
      <c r="E10" s="34"/>
      <c r="F10" s="11"/>
      <c r="G10" s="35"/>
      <c r="H10" s="59"/>
      <c r="I10" s="34"/>
      <c r="J10" s="73"/>
      <c r="K10" s="59">
        <v>15319.75</v>
      </c>
      <c r="L10" s="34">
        <v>10019.17</v>
      </c>
      <c r="M10" s="11"/>
      <c r="N10" s="35">
        <v>21</v>
      </c>
      <c r="O10" s="34">
        <v>23</v>
      </c>
      <c r="P10" s="54"/>
      <c r="Q10" s="53"/>
    </row>
    <row r="11" spans="1:17" ht="15.75" thickBot="1" x14ac:dyDescent="0.3">
      <c r="A11" s="99"/>
      <c r="B11" s="36" t="s">
        <v>9</v>
      </c>
      <c r="C11" s="20">
        <v>11762.97784</v>
      </c>
      <c r="D11" s="20"/>
      <c r="E11" s="37"/>
      <c r="F11" s="21"/>
      <c r="G11" s="90"/>
      <c r="H11" s="15"/>
      <c r="I11" s="37"/>
      <c r="J11" s="18"/>
      <c r="K11" s="20">
        <v>15894.96</v>
      </c>
      <c r="L11" s="37">
        <v>835.88440000000003</v>
      </c>
      <c r="M11" s="21"/>
      <c r="N11" s="38">
        <v>21</v>
      </c>
      <c r="O11" s="37">
        <v>24</v>
      </c>
      <c r="P11" s="18"/>
    </row>
    <row r="12" spans="1:17" ht="15.75" thickBot="1" x14ac:dyDescent="0.3">
      <c r="A12" s="99"/>
      <c r="B12" s="39" t="s">
        <v>10</v>
      </c>
      <c r="C12" s="56">
        <f>SUM(C9:C11)</f>
        <v>22272.202149999997</v>
      </c>
      <c r="D12" s="26">
        <f>SUM(D9:D11)</f>
        <v>0</v>
      </c>
      <c r="E12" s="40">
        <f>SUM(E9:E11)</f>
        <v>0</v>
      </c>
      <c r="F12" s="41">
        <f t="shared" ref="F12:I12" si="4">SUM(F9:F11)</f>
        <v>0</v>
      </c>
      <c r="G12" s="93">
        <f t="shared" si="4"/>
        <v>0</v>
      </c>
      <c r="H12" s="26">
        <f t="shared" ref="H12" si="5">SUM(H9:H11)</f>
        <v>0</v>
      </c>
      <c r="I12" s="40">
        <f t="shared" si="4"/>
        <v>0</v>
      </c>
      <c r="J12" s="42">
        <f>SUM(J9:J11)</f>
        <v>0</v>
      </c>
      <c r="K12" s="60">
        <f>SUM(K9:K11)</f>
        <v>31241.100760000001</v>
      </c>
      <c r="L12" s="64">
        <f>SUM(L9:L11)</f>
        <v>10913.98739</v>
      </c>
      <c r="M12" s="65">
        <f t="shared" ref="M12" si="6">SUM(M9:M11)</f>
        <v>0</v>
      </c>
      <c r="N12" s="63">
        <f>SUM(N9:N11)</f>
        <v>66</v>
      </c>
      <c r="O12" s="64">
        <f t="shared" ref="O12" si="7">SUM(O9:O11)</f>
        <v>71</v>
      </c>
      <c r="P12" s="66">
        <f>SUM(P9:P11)</f>
        <v>0</v>
      </c>
    </row>
    <row r="13" spans="1:17" x14ac:dyDescent="0.25">
      <c r="A13" s="98" t="s">
        <v>12</v>
      </c>
      <c r="B13" s="43" t="s">
        <v>7</v>
      </c>
      <c r="C13" s="44">
        <v>6.3201721300000004</v>
      </c>
      <c r="D13" s="44"/>
      <c r="E13" s="3"/>
      <c r="F13" s="45"/>
      <c r="G13" s="92"/>
      <c r="H13" s="76"/>
      <c r="I13" s="3"/>
      <c r="J13" s="45"/>
      <c r="K13" s="74">
        <v>43.055619999999998</v>
      </c>
      <c r="L13" s="3">
        <v>45.864530000000002</v>
      </c>
      <c r="M13" s="45"/>
      <c r="N13" s="31">
        <v>24</v>
      </c>
      <c r="O13" s="3">
        <v>24</v>
      </c>
      <c r="P13" s="45"/>
      <c r="Q13" s="53"/>
    </row>
    <row r="14" spans="1:17" x14ac:dyDescent="0.25">
      <c r="A14" s="98"/>
      <c r="B14" s="46" t="s">
        <v>8</v>
      </c>
      <c r="C14" s="9">
        <v>24.887712709999999</v>
      </c>
      <c r="D14" s="57"/>
      <c r="E14" s="10"/>
      <c r="F14" s="11"/>
      <c r="G14" s="91"/>
      <c r="H14" s="10"/>
      <c r="I14" s="10"/>
      <c r="J14" s="11"/>
      <c r="K14" s="9">
        <v>5177.1679999999997</v>
      </c>
      <c r="L14" s="10">
        <v>38.798310000000001</v>
      </c>
      <c r="M14" s="11"/>
      <c r="N14" s="35">
        <v>23</v>
      </c>
      <c r="O14" s="10">
        <v>24</v>
      </c>
      <c r="P14" s="11"/>
      <c r="Q14" s="53"/>
    </row>
    <row r="15" spans="1:17" ht="15.75" thickBot="1" x14ac:dyDescent="0.3">
      <c r="A15" s="98"/>
      <c r="B15" s="47" t="s">
        <v>9</v>
      </c>
      <c r="C15" s="87">
        <v>26.39</v>
      </c>
      <c r="D15" s="88"/>
      <c r="E15" s="20"/>
      <c r="F15" s="21"/>
      <c r="G15" s="90"/>
      <c r="H15" s="15"/>
      <c r="I15" s="20"/>
      <c r="J15" s="21"/>
      <c r="K15" s="19">
        <v>328.22469999999998</v>
      </c>
      <c r="L15" s="20">
        <v>72.841210000000004</v>
      </c>
      <c r="M15" s="21"/>
      <c r="N15" s="38">
        <v>24</v>
      </c>
      <c r="O15" s="20">
        <v>24</v>
      </c>
      <c r="P15" s="21"/>
      <c r="Q15" s="53"/>
    </row>
    <row r="16" spans="1:17" ht="15.75" thickBot="1" x14ac:dyDescent="0.3">
      <c r="A16" s="100"/>
      <c r="B16" s="48" t="s">
        <v>10</v>
      </c>
      <c r="C16" s="89">
        <f>SUM(C13:C15)</f>
        <v>57.597884839999999</v>
      </c>
      <c r="D16" s="75">
        <f>SUM(D13:D15)</f>
        <v>0</v>
      </c>
      <c r="E16" s="49">
        <f>SUM(E13:E15)</f>
        <v>0</v>
      </c>
      <c r="F16" s="50">
        <f t="shared" ref="F16:J16" si="8">SUM(F13:F15)</f>
        <v>0</v>
      </c>
      <c r="G16" s="51">
        <f t="shared" si="8"/>
        <v>0</v>
      </c>
      <c r="H16" s="51">
        <f t="shared" ref="H16" si="9">SUM(H13:H15)</f>
        <v>0</v>
      </c>
      <c r="I16" s="49">
        <f t="shared" si="8"/>
        <v>0</v>
      </c>
      <c r="J16" s="52">
        <f t="shared" si="8"/>
        <v>0</v>
      </c>
      <c r="K16" s="67">
        <f>SUM(K13:K15)</f>
        <v>5548.4483199999995</v>
      </c>
      <c r="L16" s="68">
        <f>SUM(L13:L15)</f>
        <v>157.50405000000001</v>
      </c>
      <c r="M16" s="69">
        <f t="shared" ref="M16" si="10">SUM(M13:M15)</f>
        <v>0</v>
      </c>
      <c r="N16" s="70">
        <f>SUM(N13:N15)</f>
        <v>71</v>
      </c>
      <c r="O16" s="68">
        <f t="shared" ref="O16:P16" si="11">SUM(O13:O15)</f>
        <v>72</v>
      </c>
      <c r="P16" s="71">
        <f t="shared" si="11"/>
        <v>0</v>
      </c>
    </row>
    <row r="17" spans="4:4" ht="15.75" thickTop="1" x14ac:dyDescent="0.25">
      <c r="D17" s="72"/>
    </row>
  </sheetData>
  <mergeCells count="12">
    <mergeCell ref="N3:P3"/>
    <mergeCell ref="K2:P2"/>
    <mergeCell ref="C1:P1"/>
    <mergeCell ref="C3:F3"/>
    <mergeCell ref="G3:J3"/>
    <mergeCell ref="C2:J2"/>
    <mergeCell ref="K3:M3"/>
    <mergeCell ref="A5:A8"/>
    <mergeCell ref="A9:A12"/>
    <mergeCell ref="A13:A16"/>
    <mergeCell ref="A1:A4"/>
    <mergeCell ref="B1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2026-04-04T05:00:12Z</dcterms:created>
  <dcterms:modified xsi:type="dcterms:W3CDTF">2026-04-07T17:48:39Z</dcterms:modified>
</cp:coreProperties>
</file>