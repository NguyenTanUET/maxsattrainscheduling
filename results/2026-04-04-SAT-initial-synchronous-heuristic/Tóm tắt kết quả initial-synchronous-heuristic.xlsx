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38400" windowHeight="17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11" i="1"/>
  <c r="D15" i="1"/>
  <c r="G7" i="1"/>
  <c r="G11" i="1"/>
  <c r="G15" i="1"/>
  <c r="H15" i="1"/>
  <c r="F15" i="1"/>
  <c r="E15" i="1"/>
  <c r="C15" i="1"/>
  <c r="H11" i="1"/>
  <c r="F11" i="1"/>
  <c r="E11" i="1"/>
  <c r="C11" i="1"/>
  <c r="H7" i="1"/>
  <c r="F7" i="1"/>
  <c r="E7" i="1"/>
  <c r="C7" i="1"/>
</calcChain>
</file>

<file path=xl/sharedStrings.xml><?xml version="1.0" encoding="utf-8"?>
<sst xmlns="http://schemas.openxmlformats.org/spreadsheetml/2006/main" count="26" uniqueCount="15">
  <si>
    <t>Objective function</t>
  </si>
  <si>
    <t>Set</t>
  </si>
  <si>
    <t>120 seconds timeout</t>
  </si>
  <si>
    <t>Average time (ms)</t>
  </si>
  <si>
    <t>#Solved</t>
  </si>
  <si>
    <t>Paper</t>
  </si>
  <si>
    <t>Linear Continuous</t>
  </si>
  <si>
    <t>Original</t>
  </si>
  <si>
    <t>Track time</t>
  </si>
  <si>
    <t>Station time</t>
  </si>
  <si>
    <t>All</t>
  </si>
  <si>
    <t>Rounded Linear</t>
  </si>
  <si>
    <t>Stepwise</t>
  </si>
  <si>
    <t>SAT Incr SCPB</t>
  </si>
  <si>
    <t>SAT Incr Totalizer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</si>
</sst>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4" xfId="0" applyFont="1" applyBorder="1"/>
    <xf numFmtId="0" fontId="0" fillId="0" borderId="15" xfId="0" applyBorder="1"/>
    <xf numFmtId="0" fontId="2" fillId="0" borderId="16" xfId="0" applyFont="1" applyBorder="1"/>
    <xf numFmtId="0" fontId="0" fillId="0" borderId="17" xfId="0" applyBorder="1"/>
    <xf numFmtId="0" fontId="2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/>
    <xf numFmtId="0" fontId="2" fillId="0" borderId="22" xfId="0" applyFont="1" applyBorder="1"/>
    <xf numFmtId="0" fontId="0" fillId="0" borderId="26" xfId="0" applyBorder="1"/>
    <xf numFmtId="0" fontId="0" fillId="0" borderId="27" xfId="0" applyBorder="1"/>
    <xf numFmtId="0" fontId="1" fillId="2" borderId="28" xfId="1" applyBorder="1"/>
    <xf numFmtId="0" fontId="1" fillId="2" borderId="29" xfId="1" applyBorder="1"/>
    <xf numFmtId="0" fontId="1" fillId="2" borderId="8" xfId="1" applyBorder="1"/>
    <xf numFmtId="0" fontId="2" fillId="2" borderId="30" xfId="1" applyFont="1" applyBorder="1"/>
    <xf numFmtId="0" fontId="1" fillId="2" borderId="31" xfId="1" applyBorder="1"/>
    <xf numFmtId="0" fontId="0" fillId="0" borderId="33" xfId="0" applyBorder="1"/>
    <xf numFmtId="0" fontId="0" fillId="0" borderId="2" xfId="0" applyBorder="1"/>
    <xf numFmtId="0" fontId="0" fillId="0" borderId="36" xfId="0" applyBorder="1"/>
    <xf numFmtId="0" fontId="2" fillId="0" borderId="19" xfId="0" applyFont="1" applyBorder="1"/>
    <xf numFmtId="0" fontId="0" fillId="0" borderId="37" xfId="0" applyBorder="1"/>
    <xf numFmtId="0" fontId="2" fillId="0" borderId="26" xfId="0" applyFont="1" applyBorder="1"/>
    <xf numFmtId="0" fontId="1" fillId="2" borderId="38" xfId="1" applyBorder="1"/>
    <xf numFmtId="0" fontId="0" fillId="0" borderId="40" xfId="0" applyBorder="1"/>
    <xf numFmtId="0" fontId="2" fillId="0" borderId="34" xfId="0" applyFont="1" applyBorder="1"/>
    <xf numFmtId="0" fontId="0" fillId="0" borderId="14" xfId="0" applyBorder="1"/>
    <xf numFmtId="0" fontId="0" fillId="0" borderId="41" xfId="0" applyBorder="1"/>
    <xf numFmtId="0" fontId="0" fillId="0" borderId="42" xfId="0" applyBorder="1"/>
    <xf numFmtId="0" fontId="1" fillId="2" borderId="44" xfId="1" applyBorder="1"/>
    <xf numFmtId="0" fontId="2" fillId="2" borderId="45" xfId="1" applyFont="1" applyBorder="1"/>
    <xf numFmtId="0" fontId="1" fillId="2" borderId="7" xfId="1" applyBorder="1"/>
    <xf numFmtId="0" fontId="1" fillId="2" borderId="9" xfId="1" applyBorder="1"/>
    <xf numFmtId="0" fontId="0" fillId="0" borderId="46" xfId="0" applyBorder="1"/>
    <xf numFmtId="0" fontId="2" fillId="0" borderId="20" xfId="0" applyFont="1" applyBorder="1"/>
    <xf numFmtId="0" fontId="2" fillId="0" borderId="25" xfId="0" applyFont="1" applyBorder="1"/>
    <xf numFmtId="0" fontId="2" fillId="2" borderId="39" xfId="1" applyFont="1" applyBorder="1"/>
    <xf numFmtId="0" fontId="0" fillId="0" borderId="19" xfId="0" applyFont="1" applyBorder="1"/>
    <xf numFmtId="0" fontId="0" fillId="0" borderId="26" xfId="0" applyFont="1" applyBorder="1"/>
    <xf numFmtId="0" fontId="2" fillId="0" borderId="27" xfId="0" applyFont="1" applyBorder="1"/>
    <xf numFmtId="0" fontId="1" fillId="2" borderId="31" xfId="1" applyFont="1" applyBorder="1"/>
    <xf numFmtId="0" fontId="0" fillId="0" borderId="1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/>
    <xf numFmtId="0" fontId="0" fillId="0" borderId="18" xfId="0" applyFont="1" applyBorder="1"/>
    <xf numFmtId="0" fontId="0" fillId="0" borderId="22" xfId="0" applyFont="1" applyBorder="1"/>
    <xf numFmtId="0" fontId="1" fillId="2" borderId="29" xfId="1" applyFont="1" applyBorder="1"/>
    <xf numFmtId="0" fontId="0" fillId="0" borderId="57" xfId="0" applyBorder="1"/>
    <xf numFmtId="0" fontId="0" fillId="0" borderId="56" xfId="0" applyBorder="1"/>
    <xf numFmtId="0" fontId="0" fillId="0" borderId="18" xfId="0" applyBorder="1"/>
    <xf numFmtId="0" fontId="2" fillId="2" borderId="58" xfId="1" applyFont="1" applyBorder="1"/>
    <xf numFmtId="0" fontId="1" fillId="2" borderId="48" xfId="1" applyBorder="1"/>
    <xf numFmtId="0" fontId="1" fillId="2" borderId="6" xfId="1" applyBorder="1"/>
    <xf numFmtId="0" fontId="0" fillId="0" borderId="35" xfId="0" applyFont="1" applyBorder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="265" zoomScaleNormal="265" workbookViewId="0">
      <selection activeCell="D17" sqref="D17"/>
    </sheetView>
  </sheetViews>
  <sheetFormatPr defaultRowHeight="15" x14ac:dyDescent="0.25"/>
  <cols>
    <col min="1" max="1" width="16.140625" bestFit="1" customWidth="1"/>
    <col min="2" max="2" width="11.140625" bestFit="1" customWidth="1"/>
    <col min="3" max="8" width="15.7109375" customWidth="1"/>
  </cols>
  <sheetData>
    <row r="1" spans="1:9" ht="15.75" thickBot="1" x14ac:dyDescent="0.3">
      <c r="A1" s="50" t="s">
        <v>0</v>
      </c>
      <c r="B1" s="52" t="s">
        <v>1</v>
      </c>
      <c r="C1" s="63" t="s">
        <v>2</v>
      </c>
      <c r="D1" s="64"/>
      <c r="E1" s="64"/>
      <c r="F1" s="64"/>
      <c r="G1" s="64"/>
      <c r="H1" s="65"/>
      <c r="I1" s="39"/>
    </row>
    <row r="2" spans="1:9" ht="16.5" thickTop="1" thickBot="1" x14ac:dyDescent="0.3">
      <c r="A2" s="51"/>
      <c r="B2" s="53"/>
      <c r="C2" s="59" t="s">
        <v>3</v>
      </c>
      <c r="D2" s="60"/>
      <c r="E2" s="61"/>
      <c r="F2" s="59" t="s">
        <v>4</v>
      </c>
      <c r="G2" s="60"/>
      <c r="H2" s="62"/>
    </row>
    <row r="3" spans="1:9" ht="16.5" thickTop="1" thickBot="1" x14ac:dyDescent="0.3">
      <c r="A3" s="51"/>
      <c r="B3" s="54"/>
      <c r="C3" s="57" t="s">
        <v>5</v>
      </c>
      <c r="D3" s="58" t="s">
        <v>13</v>
      </c>
      <c r="E3" s="66" t="s">
        <v>14</v>
      </c>
      <c r="F3" s="67" t="s">
        <v>5</v>
      </c>
      <c r="G3" s="55" t="s">
        <v>13</v>
      </c>
      <c r="H3" s="56" t="s">
        <v>14</v>
      </c>
      <c r="I3" s="39"/>
    </row>
    <row r="4" spans="1:9" ht="15.75" thickTop="1" x14ac:dyDescent="0.25">
      <c r="A4" s="47" t="s">
        <v>6</v>
      </c>
      <c r="B4" s="1" t="s">
        <v>7</v>
      </c>
      <c r="C4" s="2">
        <v>11763.28</v>
      </c>
      <c r="D4" s="3">
        <v>15947.88</v>
      </c>
      <c r="E4" s="4">
        <v>473.90940000000001</v>
      </c>
      <c r="F4" s="68">
        <v>22</v>
      </c>
      <c r="G4" s="5">
        <v>21</v>
      </c>
      <c r="H4" s="6">
        <v>24</v>
      </c>
    </row>
    <row r="5" spans="1:9" x14ac:dyDescent="0.25">
      <c r="A5" s="47"/>
      <c r="B5" s="7" t="s">
        <v>8</v>
      </c>
      <c r="C5" s="69">
        <v>23035.61</v>
      </c>
      <c r="D5" s="9">
        <v>18578.78</v>
      </c>
      <c r="E5" s="40">
        <v>16095.81</v>
      </c>
      <c r="F5" s="69">
        <v>20</v>
      </c>
      <c r="G5" s="26">
        <v>21</v>
      </c>
      <c r="H5" s="40">
        <v>21</v>
      </c>
      <c r="I5" s="39"/>
    </row>
    <row r="6" spans="1:9" ht="15.75" thickBot="1" x14ac:dyDescent="0.3">
      <c r="A6" s="47"/>
      <c r="B6" s="11" t="s">
        <v>9</v>
      </c>
      <c r="C6" s="12">
        <v>42557.14</v>
      </c>
      <c r="D6" s="13">
        <v>44124.33</v>
      </c>
      <c r="E6" s="14">
        <v>26595.52</v>
      </c>
      <c r="F6" s="70">
        <v>18</v>
      </c>
      <c r="G6" s="13">
        <v>16</v>
      </c>
      <c r="H6" s="41">
        <v>20</v>
      </c>
    </row>
    <row r="7" spans="1:9" ht="15.75" thickBot="1" x14ac:dyDescent="0.3">
      <c r="A7" s="47"/>
      <c r="B7" s="18" t="s">
        <v>10</v>
      </c>
      <c r="C7" s="19">
        <f>SUM(C4:C6)</f>
        <v>77356.03</v>
      </c>
      <c r="D7" s="20">
        <f>SUM(D4:D6)</f>
        <v>78650.989999999991</v>
      </c>
      <c r="E7" s="21">
        <f t="shared" ref="E7:H7" si="0">SUM(E4:E6)</f>
        <v>43165.239399999999</v>
      </c>
      <c r="F7" s="71">
        <f t="shared" si="0"/>
        <v>60</v>
      </c>
      <c r="G7" s="22">
        <f t="shared" si="0"/>
        <v>58</v>
      </c>
      <c r="H7" s="21">
        <f t="shared" si="0"/>
        <v>65</v>
      </c>
      <c r="I7" s="39"/>
    </row>
    <row r="8" spans="1:9" x14ac:dyDescent="0.25">
      <c r="A8" s="48" t="s">
        <v>11</v>
      </c>
      <c r="B8" s="23" t="s">
        <v>7</v>
      </c>
      <c r="C8" s="31">
        <v>18.09</v>
      </c>
      <c r="D8" s="78">
        <v>35.486919999999998</v>
      </c>
      <c r="E8" s="72">
        <v>44.266109999999998</v>
      </c>
      <c r="F8" s="73">
        <v>24</v>
      </c>
      <c r="G8" s="3">
        <v>24</v>
      </c>
      <c r="H8" s="24">
        <v>24</v>
      </c>
    </row>
    <row r="9" spans="1:9" x14ac:dyDescent="0.25">
      <c r="A9" s="48"/>
      <c r="B9" s="25" t="s">
        <v>8</v>
      </c>
      <c r="C9" s="9">
        <v>10491.134309999999</v>
      </c>
      <c r="D9" s="43">
        <v>10138.61</v>
      </c>
      <c r="E9" s="40">
        <v>1719.7260000000001</v>
      </c>
      <c r="F9" s="74">
        <v>22</v>
      </c>
      <c r="G9" s="43">
        <v>22</v>
      </c>
      <c r="H9" s="40">
        <v>24</v>
      </c>
      <c r="I9" s="39"/>
    </row>
    <row r="10" spans="1:9" ht="15.75" thickBot="1" x14ac:dyDescent="0.3">
      <c r="A10" s="48"/>
      <c r="B10" s="27" t="s">
        <v>9</v>
      </c>
      <c r="C10" s="16">
        <v>11762.97784</v>
      </c>
      <c r="D10" s="44">
        <v>935.60699999999997</v>
      </c>
      <c r="E10" s="45">
        <v>363.31479999999999</v>
      </c>
      <c r="F10" s="12">
        <v>22</v>
      </c>
      <c r="G10" s="28">
        <v>24</v>
      </c>
      <c r="H10" s="41">
        <v>24</v>
      </c>
    </row>
    <row r="11" spans="1:9" ht="15.75" thickBot="1" x14ac:dyDescent="0.3">
      <c r="A11" s="48"/>
      <c r="B11" s="29" t="s">
        <v>10</v>
      </c>
      <c r="C11" s="19">
        <f>SUM(C8:C10)</f>
        <v>22272.202149999997</v>
      </c>
      <c r="D11" s="46">
        <f>SUM(D8:D10)</f>
        <v>11109.70392</v>
      </c>
      <c r="E11" s="75">
        <f t="shared" ref="E11:G11" si="1">SUM(E8:E10)</f>
        <v>2127.3069100000002</v>
      </c>
      <c r="F11" s="19">
        <f t="shared" si="1"/>
        <v>68</v>
      </c>
      <c r="G11" s="46">
        <f t="shared" si="1"/>
        <v>70</v>
      </c>
      <c r="H11" s="42">
        <f>SUM(H8:H10)</f>
        <v>72</v>
      </c>
    </row>
    <row r="12" spans="1:9" x14ac:dyDescent="0.25">
      <c r="A12" s="47" t="s">
        <v>12</v>
      </c>
      <c r="B12" s="30" t="s">
        <v>7</v>
      </c>
      <c r="C12" s="31">
        <v>6.3201721300000004</v>
      </c>
      <c r="D12" s="3">
        <v>26.65014</v>
      </c>
      <c r="E12" s="32">
        <v>41.573369999999997</v>
      </c>
      <c r="F12" s="73">
        <v>24</v>
      </c>
      <c r="G12" s="3">
        <v>24</v>
      </c>
      <c r="H12" s="32">
        <v>24</v>
      </c>
      <c r="I12" s="39"/>
    </row>
    <row r="13" spans="1:9" x14ac:dyDescent="0.25">
      <c r="A13" s="47"/>
      <c r="B13" s="33" t="s">
        <v>8</v>
      </c>
      <c r="C13" s="8">
        <v>24.887712709999999</v>
      </c>
      <c r="D13" s="9">
        <v>45.824199999999998</v>
      </c>
      <c r="E13" s="10">
        <v>82.702619999999996</v>
      </c>
      <c r="F13" s="74">
        <v>24</v>
      </c>
      <c r="G13" s="9">
        <v>24</v>
      </c>
      <c r="H13" s="10">
        <v>24</v>
      </c>
      <c r="I13" s="39"/>
    </row>
    <row r="14" spans="1:9" ht="15.75" thickBot="1" x14ac:dyDescent="0.3">
      <c r="A14" s="47"/>
      <c r="B14" s="34" t="s">
        <v>9</v>
      </c>
      <c r="C14" s="15">
        <v>26.39</v>
      </c>
      <c r="D14" s="16">
        <v>76.351060000000004</v>
      </c>
      <c r="E14" s="17">
        <v>88.108360000000005</v>
      </c>
      <c r="F14" s="12">
        <v>24</v>
      </c>
      <c r="G14" s="16">
        <v>24</v>
      </c>
      <c r="H14" s="17">
        <v>24</v>
      </c>
      <c r="I14" s="39"/>
    </row>
    <row r="15" spans="1:9" ht="15.75" thickBot="1" x14ac:dyDescent="0.3">
      <c r="A15" s="49"/>
      <c r="B15" s="35" t="s">
        <v>10</v>
      </c>
      <c r="C15" s="36">
        <f>SUM(C12:C14)</f>
        <v>57.597884839999999</v>
      </c>
      <c r="D15" s="37">
        <f>SUM(D12:D14)</f>
        <v>148.8254</v>
      </c>
      <c r="E15" s="76">
        <f t="shared" ref="E15:H15" si="2">SUM(E12:E14)</f>
        <v>212.38434999999998</v>
      </c>
      <c r="F15" s="77">
        <f t="shared" si="2"/>
        <v>72</v>
      </c>
      <c r="G15" s="37">
        <f t="shared" si="2"/>
        <v>72</v>
      </c>
      <c r="H15" s="38">
        <f t="shared" si="2"/>
        <v>72</v>
      </c>
    </row>
    <row r="16" spans="1:9" ht="15.75" thickTop="1" x14ac:dyDescent="0.25"/>
  </sheetData>
  <mergeCells count="8">
    <mergeCell ref="A12:A15"/>
    <mergeCell ref="A1:A3"/>
    <mergeCell ref="B1:B3"/>
    <mergeCell ref="C1:H1"/>
    <mergeCell ref="C2:E2"/>
    <mergeCell ref="F2:H2"/>
    <mergeCell ref="A4:A7"/>
    <mergeCell ref="A8:A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nguyen</dc:creator>
  <cp:lastModifiedBy>PC</cp:lastModifiedBy>
  <dcterms:created xsi:type="dcterms:W3CDTF">2026-04-04T05:00:12Z</dcterms:created>
  <dcterms:modified xsi:type="dcterms:W3CDTF">2026-04-08T16:31:56Z</dcterms:modified>
</cp:coreProperties>
</file>