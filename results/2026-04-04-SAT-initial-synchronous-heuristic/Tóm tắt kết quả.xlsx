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maxsattrainscheduling\results\2026-04-04-SAT-initial-synchronous-heuristic\"/>
    </mc:Choice>
  </mc:AlternateContent>
  <bookViews>
    <workbookView xWindow="0" yWindow="0" windowWidth="38400" windowHeight="17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11" i="1"/>
  <c r="D15" i="1"/>
  <c r="G7" i="1"/>
  <c r="G11" i="1"/>
  <c r="G15" i="1"/>
  <c r="H15" i="1"/>
  <c r="F15" i="1"/>
  <c r="E15" i="1"/>
  <c r="C15" i="1"/>
  <c r="H11" i="1"/>
  <c r="F11" i="1"/>
  <c r="E11" i="1"/>
  <c r="C11" i="1"/>
  <c r="H7" i="1"/>
  <c r="F7" i="1"/>
  <c r="E7" i="1"/>
  <c r="C7" i="1"/>
</calcChain>
</file>

<file path=xl/sharedStrings.xml><?xml version="1.0" encoding="utf-8"?>
<sst xmlns="http://schemas.openxmlformats.org/spreadsheetml/2006/main" count="26" uniqueCount="15">
  <si>
    <t>Objective function</t>
  </si>
  <si>
    <t>Set</t>
  </si>
  <si>
    <t>120 seconds timeout</t>
  </si>
  <si>
    <t>Average time (ms)</t>
  </si>
  <si>
    <t>#Solved</t>
  </si>
  <si>
    <t>Paper</t>
  </si>
  <si>
    <t>SAT</t>
  </si>
  <si>
    <t>Totalizer SAT</t>
  </si>
  <si>
    <t>Linear Continuous</t>
  </si>
  <si>
    <t>Original</t>
  </si>
  <si>
    <t>Track time</t>
  </si>
  <si>
    <t>Station time</t>
  </si>
  <si>
    <t>All</t>
  </si>
  <si>
    <t>Rounded Linear</t>
  </si>
  <si>
    <t>Stepwise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</si>
</sst>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2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22" xfId="0" applyFont="1" applyBorder="1"/>
    <xf numFmtId="0" fontId="0" fillId="0" borderId="23" xfId="0" applyBorder="1"/>
    <xf numFmtId="0" fontId="0" fillId="0" borderId="24" xfId="0" applyBorder="1"/>
    <xf numFmtId="0" fontId="2" fillId="0" borderId="25" xfId="0" applyFont="1" applyBorder="1"/>
    <xf numFmtId="0" fontId="0" fillId="0" borderId="26" xfId="0" applyBorder="1"/>
    <xf numFmtId="0" fontId="2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33" xfId="0" applyFont="1" applyBorder="1"/>
    <xf numFmtId="0" fontId="2" fillId="0" borderId="31" xfId="0" applyFont="1" applyBorder="1"/>
    <xf numFmtId="0" fontId="0" fillId="0" borderId="36" xfId="0" applyBorder="1"/>
    <xf numFmtId="0" fontId="0" fillId="0" borderId="38" xfId="0" applyBorder="1"/>
    <xf numFmtId="0" fontId="1" fillId="2" borderId="39" xfId="1" applyBorder="1"/>
    <xf numFmtId="0" fontId="1" fillId="2" borderId="40" xfId="1" applyBorder="1"/>
    <xf numFmtId="0" fontId="1" fillId="2" borderId="16" xfId="1" applyBorder="1"/>
    <xf numFmtId="0" fontId="2" fillId="2" borderId="41" xfId="1" applyFont="1" applyBorder="1"/>
    <xf numFmtId="0" fontId="1" fillId="2" borderId="43" xfId="1" applyBorder="1"/>
    <xf numFmtId="0" fontId="0" fillId="0" borderId="45" xfId="0" applyBorder="1"/>
    <xf numFmtId="0" fontId="0" fillId="0" borderId="46" xfId="0" applyBorder="1"/>
    <xf numFmtId="0" fontId="2" fillId="0" borderId="47" xfId="0" applyFont="1" applyBorder="1"/>
    <xf numFmtId="0" fontId="0" fillId="0" borderId="48" xfId="0" applyBorder="1"/>
    <xf numFmtId="0" fontId="0" fillId="0" borderId="1" xfId="0" applyBorder="1"/>
    <xf numFmtId="0" fontId="0" fillId="0" borderId="2" xfId="0" applyBorder="1"/>
    <xf numFmtId="0" fontId="0" fillId="0" borderId="49" xfId="0" applyBorder="1"/>
    <xf numFmtId="0" fontId="2" fillId="0" borderId="28" xfId="0" applyFont="1" applyBorder="1"/>
    <xf numFmtId="0" fontId="0" fillId="0" borderId="5" xfId="0" applyBorder="1"/>
    <xf numFmtId="0" fontId="0" fillId="0" borderId="50" xfId="0" applyBorder="1"/>
    <xf numFmtId="0" fontId="2" fillId="0" borderId="36" xfId="0" applyFont="1" applyBorder="1"/>
    <xf numFmtId="0" fontId="0" fillId="0" borderId="37" xfId="0" applyBorder="1"/>
    <xf numFmtId="0" fontId="1" fillId="2" borderId="51" xfId="1" applyBorder="1"/>
    <xf numFmtId="0" fontId="2" fillId="2" borderId="43" xfId="1" applyFont="1" applyBorder="1"/>
    <xf numFmtId="0" fontId="1" fillId="2" borderId="42" xfId="1" applyBorder="1"/>
    <xf numFmtId="0" fontId="0" fillId="0" borderId="54" xfId="0" applyBorder="1"/>
    <xf numFmtId="0" fontId="2" fillId="0" borderId="46" xfId="0" applyFont="1" applyBorder="1"/>
    <xf numFmtId="0" fontId="0" fillId="0" borderId="22" xfId="0" applyBorder="1"/>
    <xf numFmtId="0" fontId="0" fillId="0" borderId="55" xfId="0" applyBorder="1"/>
    <xf numFmtId="0" fontId="0" fillId="0" borderId="56" xfId="0" applyBorder="1"/>
    <xf numFmtId="0" fontId="1" fillId="2" borderId="58" xfId="1" applyBorder="1"/>
    <xf numFmtId="0" fontId="2" fillId="2" borderId="59" xfId="1" applyFont="1" applyBorder="1"/>
    <xf numFmtId="0" fontId="1" fillId="2" borderId="13" xfId="1" applyBorder="1"/>
    <xf numFmtId="0" fontId="1" fillId="2" borderId="14" xfId="1" applyBorder="1"/>
    <xf numFmtId="0" fontId="1" fillId="2" borderId="15" xfId="1" applyBorder="1"/>
    <xf numFmtId="0" fontId="1" fillId="2" borderId="17" xfId="1" applyBorder="1"/>
    <xf numFmtId="0" fontId="1" fillId="2" borderId="42" xfId="1" applyFont="1" applyBorder="1"/>
    <xf numFmtId="0" fontId="0" fillId="0" borderId="60" xfId="0" applyBorder="1"/>
    <xf numFmtId="0" fontId="0" fillId="0" borderId="41" xfId="0" applyBorder="1"/>
    <xf numFmtId="0" fontId="2" fillId="0" borderId="29" xfId="0" applyFont="1" applyBorder="1"/>
    <xf numFmtId="0" fontId="2" fillId="0" borderId="35" xfId="0" applyFont="1" applyBorder="1"/>
    <xf numFmtId="0" fontId="0" fillId="0" borderId="1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Font="1" applyBorder="1"/>
    <xf numFmtId="0" fontId="0" fillId="0" borderId="34" xfId="0" applyFont="1" applyBorder="1"/>
    <xf numFmtId="0" fontId="2" fillId="2" borderId="53" xfId="1" applyFont="1" applyBorder="1"/>
    <xf numFmtId="0" fontId="0" fillId="0" borderId="28" xfId="0" applyFont="1" applyBorder="1"/>
    <xf numFmtId="0" fontId="0" fillId="0" borderId="36" xfId="0" applyFont="1" applyBorder="1"/>
    <xf numFmtId="0" fontId="2" fillId="0" borderId="38" xfId="0" applyFont="1" applyBorder="1"/>
    <xf numFmtId="0" fontId="1" fillId="2" borderId="43" xfId="1" applyFont="1" applyBorder="1"/>
    <xf numFmtId="0" fontId="2" fillId="2" borderId="52" xfId="1" applyFont="1" applyBorder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145" zoomScaleNormal="145" workbookViewId="0">
      <selection activeCell="C6" sqref="C6"/>
    </sheetView>
  </sheetViews>
  <sheetFormatPr defaultRowHeight="15" x14ac:dyDescent="0.25"/>
  <cols>
    <col min="1" max="1" width="16.140625" bestFit="1" customWidth="1"/>
    <col min="2" max="2" width="11.140625" bestFit="1" customWidth="1"/>
    <col min="3" max="5" width="12.7109375" bestFit="1" customWidth="1"/>
    <col min="6" max="6" width="9.28515625" customWidth="1"/>
    <col min="7" max="7" width="9.7109375" customWidth="1"/>
    <col min="8" max="8" width="11.7109375" bestFit="1" customWidth="1"/>
  </cols>
  <sheetData>
    <row r="1" spans="1:9" ht="15.75" thickBot="1" x14ac:dyDescent="0.3">
      <c r="A1" s="63" t="s">
        <v>0</v>
      </c>
      <c r="B1" s="65" t="s">
        <v>1</v>
      </c>
      <c r="C1" s="68" t="s">
        <v>2</v>
      </c>
      <c r="D1" s="69"/>
      <c r="E1" s="69"/>
      <c r="F1" s="69"/>
      <c r="G1" s="69"/>
      <c r="H1" s="69"/>
      <c r="I1" s="56"/>
    </row>
    <row r="2" spans="1:9" ht="16.5" thickTop="1" thickBot="1" x14ac:dyDescent="0.3">
      <c r="A2" s="64"/>
      <c r="B2" s="66"/>
      <c r="C2" s="70" t="s">
        <v>3</v>
      </c>
      <c r="D2" s="71"/>
      <c r="E2" s="71"/>
      <c r="F2" s="72" t="s">
        <v>4</v>
      </c>
      <c r="G2" s="71"/>
      <c r="H2" s="73"/>
    </row>
    <row r="3" spans="1:9" ht="15.75" thickBot="1" x14ac:dyDescent="0.3">
      <c r="A3" s="64"/>
      <c r="B3" s="67"/>
      <c r="C3" s="1" t="s">
        <v>5</v>
      </c>
      <c r="D3" s="2" t="s">
        <v>6</v>
      </c>
      <c r="E3" s="3" t="s">
        <v>7</v>
      </c>
      <c r="F3" s="4" t="s">
        <v>5</v>
      </c>
      <c r="G3" s="5" t="s">
        <v>6</v>
      </c>
      <c r="H3" s="57" t="s">
        <v>7</v>
      </c>
      <c r="I3" s="56"/>
    </row>
    <row r="4" spans="1:9" ht="15.75" thickTop="1" x14ac:dyDescent="0.25">
      <c r="A4" s="60" t="s">
        <v>8</v>
      </c>
      <c r="B4" s="6" t="s">
        <v>9</v>
      </c>
      <c r="C4" s="7">
        <v>11763.28</v>
      </c>
      <c r="D4" s="8">
        <v>47001.25</v>
      </c>
      <c r="E4" s="9">
        <v>413.90940000000001</v>
      </c>
      <c r="F4" s="10">
        <v>22</v>
      </c>
      <c r="G4" s="11">
        <v>15</v>
      </c>
      <c r="H4" s="12">
        <v>24</v>
      </c>
    </row>
    <row r="5" spans="1:9" x14ac:dyDescent="0.25">
      <c r="A5" s="60"/>
      <c r="B5" s="13" t="s">
        <v>10</v>
      </c>
      <c r="C5" s="14">
        <v>23035.61</v>
      </c>
      <c r="D5" s="15">
        <v>85001.46</v>
      </c>
      <c r="E5" s="16">
        <v>16095.81</v>
      </c>
      <c r="F5" s="74">
        <v>20</v>
      </c>
      <c r="G5" s="15">
        <v>7</v>
      </c>
      <c r="H5" s="58">
        <v>21</v>
      </c>
      <c r="I5" s="56"/>
    </row>
    <row r="6" spans="1:9" ht="15.75" thickBot="1" x14ac:dyDescent="0.3">
      <c r="A6" s="60"/>
      <c r="B6" s="17" t="s">
        <v>11</v>
      </c>
      <c r="C6" s="18">
        <v>42557.14</v>
      </c>
      <c r="D6" s="19">
        <v>90078.45</v>
      </c>
      <c r="E6" s="20">
        <v>26595.52</v>
      </c>
      <c r="F6" s="75">
        <v>18</v>
      </c>
      <c r="G6" s="19">
        <v>6</v>
      </c>
      <c r="H6" s="59">
        <v>20</v>
      </c>
    </row>
    <row r="7" spans="1:9" ht="15.75" thickBot="1" x14ac:dyDescent="0.3">
      <c r="A7" s="60"/>
      <c r="B7" s="24" t="s">
        <v>12</v>
      </c>
      <c r="C7" s="25">
        <f>SUM(C4:C6)</f>
        <v>77356.03</v>
      </c>
      <c r="D7" s="26">
        <f>SUM(D4:D6)</f>
        <v>222081.16000000003</v>
      </c>
      <c r="E7" s="27">
        <f t="shared" ref="E7:H7" si="0">SUM(E4:E6)</f>
        <v>43105.239399999999</v>
      </c>
      <c r="F7" s="55">
        <f t="shared" si="0"/>
        <v>60</v>
      </c>
      <c r="G7" s="28">
        <f t="shared" si="0"/>
        <v>28</v>
      </c>
      <c r="H7" s="27">
        <f t="shared" si="0"/>
        <v>65</v>
      </c>
      <c r="I7" s="56"/>
    </row>
    <row r="8" spans="1:9" x14ac:dyDescent="0.25">
      <c r="A8" s="61" t="s">
        <v>13</v>
      </c>
      <c r="B8" s="29" t="s">
        <v>9</v>
      </c>
      <c r="C8" s="30">
        <v>18.09</v>
      </c>
      <c r="D8" s="31">
        <v>10.46034</v>
      </c>
      <c r="E8" s="32">
        <v>44.266109999999998</v>
      </c>
      <c r="F8" s="33">
        <v>24</v>
      </c>
      <c r="G8" s="8">
        <v>24</v>
      </c>
      <c r="H8" s="34">
        <v>24</v>
      </c>
    </row>
    <row r="9" spans="1:9" x14ac:dyDescent="0.25">
      <c r="A9" s="61"/>
      <c r="B9" s="35" t="s">
        <v>10</v>
      </c>
      <c r="C9" s="15">
        <v>10491.134309999999</v>
      </c>
      <c r="D9" s="77">
        <v>7269.5829999999996</v>
      </c>
      <c r="E9" s="58">
        <v>1719.7260000000001</v>
      </c>
      <c r="F9" s="37">
        <v>22</v>
      </c>
      <c r="G9" s="36">
        <v>24</v>
      </c>
      <c r="H9" s="58">
        <v>24</v>
      </c>
      <c r="I9" s="56"/>
    </row>
    <row r="10" spans="1:9" ht="15.75" thickBot="1" x14ac:dyDescent="0.3">
      <c r="A10" s="61"/>
      <c r="B10" s="38" t="s">
        <v>11</v>
      </c>
      <c r="C10" s="22">
        <v>11762.97784</v>
      </c>
      <c r="D10" s="78">
        <v>5030.67</v>
      </c>
      <c r="E10" s="79">
        <v>363.31479999999999</v>
      </c>
      <c r="F10" s="40">
        <v>22</v>
      </c>
      <c r="G10" s="39">
        <v>24</v>
      </c>
      <c r="H10" s="59">
        <v>24</v>
      </c>
    </row>
    <row r="11" spans="1:9" ht="15.75" thickBot="1" x14ac:dyDescent="0.3">
      <c r="A11" s="61"/>
      <c r="B11" s="41" t="s">
        <v>12</v>
      </c>
      <c r="C11" s="25">
        <f>SUM(C8:C10)</f>
        <v>22272.202149999997</v>
      </c>
      <c r="D11" s="80">
        <f>SUM(D8:D10)</f>
        <v>12310.713339999998</v>
      </c>
      <c r="E11" s="81">
        <f t="shared" ref="E11:G11" si="1">SUM(E8:E10)</f>
        <v>2127.3069100000002</v>
      </c>
      <c r="F11" s="43">
        <f t="shared" si="1"/>
        <v>68</v>
      </c>
      <c r="G11" s="42">
        <f t="shared" si="1"/>
        <v>72</v>
      </c>
      <c r="H11" s="76">
        <f>SUM(H8:H10)</f>
        <v>72</v>
      </c>
    </row>
    <row r="12" spans="1:9" x14ac:dyDescent="0.25">
      <c r="A12" s="60" t="s">
        <v>14</v>
      </c>
      <c r="B12" s="44" t="s">
        <v>9</v>
      </c>
      <c r="C12" s="45">
        <v>6.3201721300000004</v>
      </c>
      <c r="D12" s="8">
        <v>8.4396679999999993</v>
      </c>
      <c r="E12" s="46">
        <v>41.573369999999997</v>
      </c>
      <c r="F12" s="33">
        <v>24</v>
      </c>
      <c r="G12" s="8">
        <v>24</v>
      </c>
      <c r="H12" s="46">
        <v>24</v>
      </c>
      <c r="I12" s="56"/>
    </row>
    <row r="13" spans="1:9" x14ac:dyDescent="0.25">
      <c r="A13" s="60"/>
      <c r="B13" s="47" t="s">
        <v>10</v>
      </c>
      <c r="C13" s="14">
        <v>24.887712709999999</v>
      </c>
      <c r="D13" s="15">
        <v>94.609719999999996</v>
      </c>
      <c r="E13" s="16">
        <v>82.702619999999996</v>
      </c>
      <c r="F13" s="37">
        <v>24</v>
      </c>
      <c r="G13" s="15">
        <v>24</v>
      </c>
      <c r="H13" s="16">
        <v>24</v>
      </c>
      <c r="I13" s="56"/>
    </row>
    <row r="14" spans="1:9" ht="15.75" thickBot="1" x14ac:dyDescent="0.3">
      <c r="A14" s="60"/>
      <c r="B14" s="48" t="s">
        <v>11</v>
      </c>
      <c r="C14" s="21">
        <v>26.39</v>
      </c>
      <c r="D14" s="22">
        <v>78.652550000000005</v>
      </c>
      <c r="E14" s="23">
        <v>88.108360000000005</v>
      </c>
      <c r="F14" s="40">
        <v>24</v>
      </c>
      <c r="G14" s="22">
        <v>24</v>
      </c>
      <c r="H14" s="23">
        <v>24</v>
      </c>
      <c r="I14" s="56"/>
    </row>
    <row r="15" spans="1:9" ht="15.75" thickBot="1" x14ac:dyDescent="0.3">
      <c r="A15" s="62"/>
      <c r="B15" s="49" t="s">
        <v>12</v>
      </c>
      <c r="C15" s="50">
        <f>SUM(C12:C14)</f>
        <v>57.597884839999999</v>
      </c>
      <c r="D15" s="51">
        <f>SUM(D12:D14)</f>
        <v>181.70193799999998</v>
      </c>
      <c r="E15" s="52">
        <f t="shared" ref="E15:H15" si="2">SUM(E12:E14)</f>
        <v>212.38434999999998</v>
      </c>
      <c r="F15" s="53">
        <f t="shared" si="2"/>
        <v>72</v>
      </c>
      <c r="G15" s="51">
        <f t="shared" si="2"/>
        <v>72</v>
      </c>
      <c r="H15" s="54">
        <f t="shared" si="2"/>
        <v>72</v>
      </c>
    </row>
    <row r="16" spans="1:9" ht="15.75" thickTop="1" x14ac:dyDescent="0.25"/>
  </sheetData>
  <mergeCells count="8">
    <mergeCell ref="C1:H1"/>
    <mergeCell ref="C2:E2"/>
    <mergeCell ref="F2:H2"/>
    <mergeCell ref="A4:A7"/>
    <mergeCell ref="A8:A11"/>
    <mergeCell ref="A12:A15"/>
    <mergeCell ref="A1:A3"/>
    <mergeCell ref="B1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PC</cp:lastModifiedBy>
  <dcterms:created xsi:type="dcterms:W3CDTF">2026-04-04T05:00:12Z</dcterms:created>
  <dcterms:modified xsi:type="dcterms:W3CDTF">2026-04-07T15:32:10Z</dcterms:modified>
</cp:coreProperties>
</file>