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axsattrainscheduling\"/>
    </mc:Choice>
  </mc:AlternateContent>
  <xr:revisionPtr revIDLastSave="0" documentId="13_ncr:1_{74F4382C-14AE-4FDE-AFC0-ADA03C204078}" xr6:coauthVersionLast="47" xr6:coauthVersionMax="47" xr10:uidLastSave="{00000000-0000-0000-0000-000000000000}"/>
  <bookViews>
    <workbookView xWindow="-108" yWindow="-108" windowWidth="23256" windowHeight="12456" xr2:uid="{B441656A-886F-4609-9CD8-BB65085F5296}"/>
  </bookViews>
  <sheets>
    <sheet name="results_sat_scl_cont_totalizer_" sheetId="2" r:id="rId1"/>
    <sheet name="Sheet1" sheetId="1" r:id="rId2"/>
  </sheets>
  <definedNames>
    <definedName name="ExternalData_1" localSheetId="0" hidden="1">results_sat_scl_cont_totalizer_!$A$1:$AA$82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" i="2" l="1"/>
  <c r="AD2" i="2"/>
  <c r="A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5EA04E-8BA1-431A-98A6-647CA136AF5C}" keepAlive="1" name="Query - results_sat_scl_cont_totalizer_120s_init_sync" description="Connection to the 'results_sat_scl_cont_totalizer_120s_init_sync' query in the workbook." type="5" refreshedVersion="8" background="1" saveData="1">
    <dbPr connection="Provider=Microsoft.Mashup.OleDb.1;Data Source=$Workbook$;Location=results_sat_scl_cont_totalizer_120s_init_sync;Extended Properties=&quot;&quot;" command="SELECT * FROM [results_sat_scl_cont_totalizer_120s_init_sync]"/>
  </connection>
</connections>
</file>

<file path=xl/sharedStrings.xml><?xml version="1.0" encoding="utf-8"?>
<sst xmlns="http://schemas.openxmlformats.org/spreadsheetml/2006/main" count="354" uniqueCount="111">
  <si>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</si>
  <si>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</si>
  <si>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</si>
  <si>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</si>
  <si>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</si>
  <si>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</si>
  <si>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</si>
  <si>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</si>
  <si>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</si>
  <si>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</si>
  <si>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</si>
  <si>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</si>
  <si>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</si>
  <si>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</si>
  <si>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</si>
  <si>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</si>
  <si>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</si>
  <si>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</si>
  <si>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</si>
  <si>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</si>
  <si>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</si>
  <si>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</si>
  <si>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</si>
  <si>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</si>
  <si>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</si>
  <si>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</si>
  <si>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</si>
  <si>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</si>
  <si>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</si>
  <si>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</si>
  <si>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ok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</si>
  <si>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</si>
  <si>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</si>
  <si>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</si>
  <si>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</si>
  <si>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</si>
  <si>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</si>
  <si>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</si>
  <si>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</si>
  <si>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</si>
  <si>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</si>
  <si>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</si>
  <si>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origB1</t>
  </si>
  <si>
    <t>origB10</t>
  </si>
  <si>
    <t>origB11</t>
  </si>
  <si>
    <t>origB12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</si>
  <si>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</si>
  <si>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</si>
  <si>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</si>
  <si>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</si>
  <si>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</si>
  <si>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</si>
  <si>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</si>
  <si>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</si>
  <si>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cont</t>
  </si>
  <si>
    <t>trackA1</t>
  </si>
  <si>
    <t>sat_ddd_scl_totalizer</t>
  </si>
  <si>
    <t>external_timeout</t>
  </si>
  <si>
    <t>trackA2</t>
  </si>
  <si>
    <t>trackA3</t>
  </si>
  <si>
    <t>trackA4</t>
  </si>
  <si>
    <t>trackA5</t>
  </si>
  <si>
    <t>trackA6</t>
  </si>
  <si>
    <t>trackA7</t>
  </si>
  <si>
    <t>trackA8</t>
  </si>
  <si>
    <t>oom</t>
  </si>
  <si>
    <t>trackA9</t>
  </si>
  <si>
    <t>trackA10</t>
  </si>
  <si>
    <t>trackA11</t>
  </si>
  <si>
    <t>timeout</t>
  </si>
  <si>
    <t>trackA12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</si>
  <si>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</si>
  <si>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</si>
  <si>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</si>
  <si>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</si>
  <si>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</si>
  <si>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</si>
  <si>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</si>
  <si>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</si>
  <si>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</si>
  <si>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</si>
  <si>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</si>
  <si>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</si>
  <si>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stationA1</t>
  </si>
  <si>
    <t>killed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</si>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</sst>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C2142C-E342-4416-859D-CB628AF00FC6}" autoFormatId="16" applyNumberFormats="0" applyBorderFormats="0" applyFontFormats="0" applyPatternFormats="0" applyAlignmentFormats="0" applyWidthHeightFormats="0">
  <queryTableRefresh nextId="28">
    <queryTableFields count="27">
      <queryTableField id="1" name="algorithm_time" tableColumnId="1"/>
      <queryTableField id="2" name="avg_time_points" tableColumnId="2"/>
      <queryTableField id="3" name="avg_tracks" tableColumnId="3"/>
      <queryTableField id="4" name="conflicting_visit_pairs" tableColumnId="4"/>
      <queryTableField id="5" name="conflicts" tableColumnId="5"/>
      <queryTableField id="6" name="cost" tableColumnId="6"/>
      <queryTableField id="7" name="delay_cost_type" tableColumnId="7"/>
      <queryTableField id="8" name="exit_code" tableColumnId="8"/>
      <queryTableField id="9" name="index" tableColumnId="9"/>
      <queryTableField id="10" name="iterations" tableColumnId="10"/>
      <queryTableField id="11" name="lb" tableColumnId="11"/>
      <queryTableField id="12" name="max_time_points" tableColumnId="12"/>
      <queryTableField id="13" name="name" tableColumnId="13"/>
      <queryTableField id="14" name="num_conflicts" tableColumnId="14"/>
      <queryTableField id="15" name="num_time_points" tableColumnId="15"/>
      <queryTableField id="16" name="num_traveltime" tableColumnId="16"/>
      <queryTableField id="17" name="objective_iters" tableColumnId="17"/>
      <queryTableField id="18" name="resource_iters" tableColumnId="18"/>
      <queryTableField id="19" name="sol_time" tableColumnId="19"/>
      <queryTableField id="20" name="solver_name" tableColumnId="20"/>
      <queryTableField id="21" name="solver_time" tableColumnId="21"/>
      <queryTableField id="22" name="status" tableColumnId="22"/>
      <queryTableField id="23" name="total_time" tableColumnId="23"/>
      <queryTableField id="24" name="trains" tableColumnId="24"/>
      <queryTableField id="25" name="travel_and_resource_iters" tableColumnId="25"/>
      <queryTableField id="26" name="travel_iters" tableColumnId="26"/>
      <queryTableField id="27" name="ub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3680C-44D9-40F8-A8AD-3E507F0AD433}" name="results_sat_scl_cont_totalizer_120s_init_sync" displayName="results_sat_scl_cont_totalizer_120s_init_sync" ref="A1:AA82" tableType="queryTable" totalsRowShown="0">
  <autoFilter ref="A1:AA82" xr:uid="{9503680C-44D9-40F8-A8AD-3E507F0AD433}"/>
  <tableColumns count="27">
    <tableColumn id="1" xr3:uid="{A97A3A30-4C3A-4879-BAD4-EBE7E0C6466B}" uniqueName="1" name="algorithm_time" queryTableFieldId="1"/>
    <tableColumn id="2" xr3:uid="{6BFB8AAA-9C8F-4205-ADA5-C42C7AA69BB6}" uniqueName="2" name="avg_time_points" queryTableFieldId="2"/>
    <tableColumn id="3" xr3:uid="{7E4CDDB5-DC06-414C-99F3-BBF5AE05571E}" uniqueName="3" name="avg_tracks" queryTableFieldId="3"/>
    <tableColumn id="4" xr3:uid="{CF68C595-92B9-4ADE-9578-8D10D04B018C}" uniqueName="4" name="conflicting_visit_pairs" queryTableFieldId="4"/>
    <tableColumn id="5" xr3:uid="{4DDD0C24-7846-4FFD-9D37-2C1CB2FA4D2D}" uniqueName="5" name="conflicts" queryTableFieldId="5"/>
    <tableColumn id="6" xr3:uid="{361F15CB-5EF0-4B5C-84CF-6D61B9A8A710}" uniqueName="6" name="cost" queryTableFieldId="6"/>
    <tableColumn id="7" xr3:uid="{846500B7-FE75-486E-BB4F-DBF0EC7564EE}" uniqueName="7" name="delay_cost_type" queryTableFieldId="7" dataDxfId="3"/>
    <tableColumn id="8" xr3:uid="{20EBC8F5-0CB0-483D-A8AB-72FB0B105EAC}" uniqueName="8" name="exit_code" queryTableFieldId="8"/>
    <tableColumn id="9" xr3:uid="{558BE338-9D6A-4E14-A1A1-00DE373B9479}" uniqueName="9" name="index" queryTableFieldId="9"/>
    <tableColumn id="10" xr3:uid="{3AAB6BB0-B221-40A7-8AB1-111AD37F9E81}" uniqueName="10" name="iterations" queryTableFieldId="10"/>
    <tableColumn id="11" xr3:uid="{597E7FD4-8FC3-47C5-93F9-55EA86FAB91D}" uniqueName="11" name="lb" queryTableFieldId="11"/>
    <tableColumn id="12" xr3:uid="{D58AEB44-9FC0-48DC-B2E9-0AA10881D205}" uniqueName="12" name="max_time_points" queryTableFieldId="12"/>
    <tableColumn id="13" xr3:uid="{15EB58A0-7936-4977-9FD0-5FA725EAFC1C}" uniqueName="13" name="name" queryTableFieldId="13" dataDxfId="2"/>
    <tableColumn id="14" xr3:uid="{379E6587-F9AD-4D06-B5EF-C715467E0159}" uniqueName="14" name="num_conflicts" queryTableFieldId="14"/>
    <tableColumn id="15" xr3:uid="{D218C0A5-8D00-40C7-8F2D-9A9B33C68475}" uniqueName="15" name="num_time_points" queryTableFieldId="15"/>
    <tableColumn id="16" xr3:uid="{3333E39C-DA3A-4A77-9ED7-778D7B06A4EE}" uniqueName="16" name="num_traveltime" queryTableFieldId="16"/>
    <tableColumn id="17" xr3:uid="{B4E4A3F8-3B9B-4B76-B1CF-706E2C171FD6}" uniqueName="17" name="objective_iters" queryTableFieldId="17"/>
    <tableColumn id="18" xr3:uid="{2A60E4BF-662B-4EC1-91FB-894B17688A50}" uniqueName="18" name="resource_iters" queryTableFieldId="18"/>
    <tableColumn id="19" xr3:uid="{CDD26E7D-50F7-4967-AC1E-D794668D6004}" uniqueName="19" name="sol_time" queryTableFieldId="19"/>
    <tableColumn id="20" xr3:uid="{12C5B4DD-32A2-44D3-AB7C-75F9B3D5CE12}" uniqueName="20" name="solver_name" queryTableFieldId="20" dataDxfId="1"/>
    <tableColumn id="21" xr3:uid="{D9028793-E39E-47FC-A812-271998666734}" uniqueName="21" name="solver_time" queryTableFieldId="21"/>
    <tableColumn id="22" xr3:uid="{19BF240B-FA45-4B6E-8256-B989F2DE738B}" uniqueName="22" name="status" queryTableFieldId="22" dataDxfId="0"/>
    <tableColumn id="23" xr3:uid="{AF09A7FB-E76D-4FFD-8D1D-E9C6909A6053}" uniqueName="23" name="total_time" queryTableFieldId="23"/>
    <tableColumn id="24" xr3:uid="{57751418-161D-4C20-9972-57D896F02745}" uniqueName="24" name="trains" queryTableFieldId="24"/>
    <tableColumn id="25" xr3:uid="{00CC12B3-74D6-4D47-AE68-FF07A5880D91}" uniqueName="25" name="travel_and_resource_iters" queryTableFieldId="25"/>
    <tableColumn id="26" xr3:uid="{ECF8BAF0-A0F9-4346-8A62-4F64768BF4D2}" uniqueName="26" name="travel_iters" queryTableFieldId="26"/>
    <tableColumn id="27" xr3:uid="{77C67261-870F-4ACC-A0F9-6E67E5AD8883}" uniqueName="27" name="ub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7284-F61D-44F9-BCA7-DA2B5F228161}">
  <dimension ref="A1:AE82"/>
  <sheetViews>
    <sheetView tabSelected="1" topLeftCell="P1" workbookViewId="0">
      <selection activeCell="U14" sqref="U14"/>
    </sheetView>
  </sheetViews>
  <sheetFormatPr defaultRowHeight="14.4" x14ac:dyDescent="0.3"/>
  <cols>
    <col min="1" max="1" width="16.21875" bestFit="1" customWidth="1"/>
    <col min="2" max="2" width="17.33203125" bestFit="1" customWidth="1"/>
    <col min="3" max="3" width="12.21875" bestFit="1" customWidth="1"/>
    <col min="4" max="4" width="21.5546875" bestFit="1" customWidth="1"/>
    <col min="5" max="5" width="10.21875" bestFit="1" customWidth="1"/>
    <col min="6" max="6" width="6.6640625" bestFit="1" customWidth="1"/>
    <col min="7" max="7" width="17.109375" bestFit="1" customWidth="1"/>
    <col min="8" max="8" width="11.33203125" bestFit="1" customWidth="1"/>
    <col min="9" max="9" width="7.77734375" bestFit="1" customWidth="1"/>
    <col min="10" max="10" width="11.109375" bestFit="1" customWidth="1"/>
    <col min="11" max="11" width="6" bestFit="1" customWidth="1"/>
    <col min="12" max="12" width="17.88671875" bestFit="1" customWidth="1"/>
    <col min="13" max="13" width="9.77734375" bestFit="1" customWidth="1"/>
    <col min="14" max="14" width="15.109375" bestFit="1" customWidth="1"/>
    <col min="15" max="15" width="18.21875" bestFit="1" customWidth="1"/>
    <col min="16" max="16" width="16.77734375" bestFit="1" customWidth="1"/>
    <col min="17" max="17" width="15.6640625" bestFit="1" customWidth="1"/>
    <col min="18" max="18" width="15" bestFit="1" customWidth="1"/>
    <col min="19" max="19" width="12" bestFit="1" customWidth="1"/>
    <col min="20" max="20" width="18.5546875" bestFit="1" customWidth="1"/>
    <col min="21" max="21" width="13" bestFit="1" customWidth="1"/>
    <col min="22" max="22" width="15.21875" bestFit="1" customWidth="1"/>
    <col min="23" max="23" width="12" bestFit="1" customWidth="1"/>
    <col min="24" max="24" width="7.88671875" bestFit="1" customWidth="1"/>
    <col min="25" max="25" width="25.33203125" bestFit="1" customWidth="1"/>
    <col min="26" max="26" width="12.5546875" bestFit="1" customWidth="1"/>
    <col min="27" max="27" width="6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s="2" t="s">
        <v>108</v>
      </c>
      <c r="AD1" s="2" t="s">
        <v>109</v>
      </c>
      <c r="AE1" s="2" t="s">
        <v>110</v>
      </c>
    </row>
    <row r="2" spans="1:31" x14ac:dyDescent="0.3">
      <c r="A2">
        <v>0.86355755499999998</v>
      </c>
      <c r="B2">
        <v>1.662912308930008</v>
      </c>
      <c r="C2">
        <v>20.931034088134766</v>
      </c>
      <c r="D2">
        <v>5915</v>
      </c>
      <c r="E2">
        <v>33</v>
      </c>
      <c r="F2">
        <v>6771</v>
      </c>
      <c r="G2" s="1" t="s">
        <v>27</v>
      </c>
      <c r="I2">
        <v>0</v>
      </c>
      <c r="J2">
        <v>82</v>
      </c>
      <c r="K2">
        <v>6771</v>
      </c>
      <c r="L2">
        <v>11</v>
      </c>
      <c r="M2" s="1" t="s">
        <v>28</v>
      </c>
      <c r="N2">
        <v>70</v>
      </c>
      <c r="O2">
        <v>2067</v>
      </c>
      <c r="P2">
        <v>676</v>
      </c>
      <c r="Q2">
        <v>82</v>
      </c>
      <c r="R2">
        <v>1</v>
      </c>
      <c r="S2">
        <v>913.78652399999999</v>
      </c>
      <c r="T2" s="1" t="s">
        <v>29</v>
      </c>
      <c r="U2">
        <v>4.5117413000000002E-2</v>
      </c>
      <c r="V2" s="1" t="s">
        <v>30</v>
      </c>
      <c r="W2">
        <v>0.90867367300000002</v>
      </c>
      <c r="X2">
        <v>29</v>
      </c>
      <c r="Y2">
        <v>36</v>
      </c>
      <c r="Z2">
        <v>33</v>
      </c>
      <c r="AA2">
        <v>6771</v>
      </c>
      <c r="AC2" s="3">
        <f>AVERAGE(S2:S24)</f>
        <v>802032351870.63293</v>
      </c>
      <c r="AD2" s="3">
        <f>AVERAGE(S26:S49)</f>
        <v>13469.483303727273</v>
      </c>
      <c r="AE2" s="3">
        <f>AVERAGE(S50:S73)</f>
        <v>18832.757596047617</v>
      </c>
    </row>
    <row r="3" spans="1:31" x14ac:dyDescent="0.3">
      <c r="A3">
        <v>4.7291398999999998E-2</v>
      </c>
      <c r="B3">
        <v>2.025196850393701</v>
      </c>
      <c r="C3">
        <v>18.176469802856445</v>
      </c>
      <c r="D3">
        <v>1632</v>
      </c>
      <c r="E3">
        <v>33</v>
      </c>
      <c r="F3">
        <v>4746</v>
      </c>
      <c r="G3" s="1" t="s">
        <v>27</v>
      </c>
      <c r="I3">
        <v>1</v>
      </c>
      <c r="J3">
        <v>45</v>
      </c>
      <c r="K3">
        <v>4746</v>
      </c>
      <c r="L3">
        <v>10</v>
      </c>
      <c r="M3" s="1" t="s">
        <v>31</v>
      </c>
      <c r="N3">
        <v>58</v>
      </c>
      <c r="O3">
        <v>1286</v>
      </c>
      <c r="P3">
        <v>519</v>
      </c>
      <c r="Q3">
        <v>45</v>
      </c>
      <c r="R3">
        <v>1</v>
      </c>
      <c r="S3">
        <v>73.987686999999994</v>
      </c>
      <c r="T3" s="1" t="s">
        <v>29</v>
      </c>
      <c r="U3">
        <v>2.3938133E-2</v>
      </c>
      <c r="V3" s="1" t="s">
        <v>30</v>
      </c>
      <c r="W3">
        <v>7.1228852999999995E-2</v>
      </c>
      <c r="X3">
        <v>17</v>
      </c>
      <c r="Y3">
        <v>24</v>
      </c>
      <c r="Z3">
        <v>8</v>
      </c>
      <c r="AA3">
        <v>4746</v>
      </c>
    </row>
    <row r="4" spans="1:31" x14ac:dyDescent="0.3">
      <c r="A4">
        <v>0.10955772600000001</v>
      </c>
      <c r="B4">
        <v>1.7155737704918033</v>
      </c>
      <c r="C4">
        <v>19.833333969116211</v>
      </c>
      <c r="D4">
        <v>6162</v>
      </c>
      <c r="E4">
        <v>33</v>
      </c>
      <c r="F4">
        <v>5090</v>
      </c>
      <c r="G4" s="1" t="s">
        <v>27</v>
      </c>
      <c r="I4">
        <v>2</v>
      </c>
      <c r="J4">
        <v>56</v>
      </c>
      <c r="K4">
        <v>5090</v>
      </c>
      <c r="L4">
        <v>9</v>
      </c>
      <c r="M4" s="1" t="s">
        <v>32</v>
      </c>
      <c r="N4">
        <v>84</v>
      </c>
      <c r="O4">
        <v>2093</v>
      </c>
      <c r="P4">
        <v>686</v>
      </c>
      <c r="Q4">
        <v>56</v>
      </c>
      <c r="R4">
        <v>1</v>
      </c>
      <c r="S4">
        <v>175.29171500000001</v>
      </c>
      <c r="T4" s="1" t="s">
        <v>29</v>
      </c>
      <c r="U4">
        <v>6.1392660000000002E-2</v>
      </c>
      <c r="V4" s="1" t="s">
        <v>30</v>
      </c>
      <c r="W4">
        <v>0.17094938000000001</v>
      </c>
      <c r="X4">
        <v>30</v>
      </c>
      <c r="Y4">
        <v>32</v>
      </c>
      <c r="Z4">
        <v>11</v>
      </c>
      <c r="AA4">
        <v>5090</v>
      </c>
    </row>
    <row r="5" spans="1:31" x14ac:dyDescent="0.3">
      <c r="A5">
        <v>0.103974989</v>
      </c>
      <c r="B5">
        <v>1.905144694533762</v>
      </c>
      <c r="C5">
        <v>21.714284896850586</v>
      </c>
      <c r="D5">
        <v>6393</v>
      </c>
      <c r="E5">
        <v>33</v>
      </c>
      <c r="F5">
        <v>4950</v>
      </c>
      <c r="G5" s="1" t="s">
        <v>27</v>
      </c>
      <c r="I5">
        <v>3</v>
      </c>
      <c r="J5">
        <v>53</v>
      </c>
      <c r="K5">
        <v>4950</v>
      </c>
      <c r="L5">
        <v>11</v>
      </c>
      <c r="M5" s="1" t="s">
        <v>33</v>
      </c>
      <c r="N5">
        <v>111</v>
      </c>
      <c r="O5">
        <v>2370</v>
      </c>
      <c r="P5">
        <v>879</v>
      </c>
      <c r="Q5">
        <v>53</v>
      </c>
      <c r="R5">
        <v>1</v>
      </c>
      <c r="S5">
        <v>173.08818299999999</v>
      </c>
      <c r="T5" s="1" t="s">
        <v>29</v>
      </c>
      <c r="U5">
        <v>6.3663545000000002E-2</v>
      </c>
      <c r="V5" s="1" t="s">
        <v>30</v>
      </c>
      <c r="W5">
        <v>0.167637705</v>
      </c>
      <c r="X5">
        <v>28</v>
      </c>
      <c r="Y5">
        <v>35</v>
      </c>
      <c r="Z5">
        <v>5</v>
      </c>
      <c r="AA5">
        <v>4950</v>
      </c>
    </row>
    <row r="6" spans="1:31" x14ac:dyDescent="0.3">
      <c r="A6">
        <v>0.121183809</v>
      </c>
      <c r="B6">
        <v>1.642051282051282</v>
      </c>
      <c r="C6">
        <v>19</v>
      </c>
      <c r="D6">
        <v>3735</v>
      </c>
      <c r="E6">
        <v>33</v>
      </c>
      <c r="F6">
        <v>5882</v>
      </c>
      <c r="G6" s="1" t="s">
        <v>27</v>
      </c>
      <c r="I6">
        <v>0</v>
      </c>
      <c r="J6">
        <v>42</v>
      </c>
      <c r="K6">
        <v>5882</v>
      </c>
      <c r="L6">
        <v>11</v>
      </c>
      <c r="M6" s="1" t="s">
        <v>34</v>
      </c>
      <c r="N6">
        <v>78</v>
      </c>
      <c r="O6">
        <v>1601</v>
      </c>
      <c r="P6">
        <v>431</v>
      </c>
      <c r="Q6">
        <v>42</v>
      </c>
      <c r="R6">
        <v>1</v>
      </c>
      <c r="S6">
        <v>18446744067958.914</v>
      </c>
      <c r="T6" s="1" t="s">
        <v>29</v>
      </c>
      <c r="U6">
        <v>0.100215795</v>
      </c>
      <c r="V6" s="1" t="s">
        <v>30</v>
      </c>
      <c r="W6">
        <v>0.22139873800000001</v>
      </c>
      <c r="X6">
        <v>25</v>
      </c>
      <c r="Y6">
        <v>24</v>
      </c>
      <c r="Z6">
        <v>5</v>
      </c>
      <c r="AA6">
        <v>5882</v>
      </c>
    </row>
    <row r="7" spans="1:31" x14ac:dyDescent="0.3">
      <c r="A7">
        <v>2.8006062000000002E-2</v>
      </c>
      <c r="B7">
        <v>1.2295081967213115</v>
      </c>
      <c r="C7">
        <v>22.375</v>
      </c>
      <c r="D7">
        <v>2061</v>
      </c>
      <c r="E7">
        <v>33</v>
      </c>
      <c r="F7">
        <v>1329</v>
      </c>
      <c r="G7" s="1" t="s">
        <v>27</v>
      </c>
      <c r="I7">
        <v>0</v>
      </c>
      <c r="J7">
        <v>26</v>
      </c>
      <c r="K7">
        <v>1329</v>
      </c>
      <c r="L7">
        <v>4</v>
      </c>
      <c r="M7" s="1" t="s">
        <v>35</v>
      </c>
      <c r="N7">
        <v>15</v>
      </c>
      <c r="O7">
        <v>900</v>
      </c>
      <c r="P7">
        <v>120</v>
      </c>
      <c r="Q7">
        <v>26</v>
      </c>
      <c r="R7">
        <v>1</v>
      </c>
      <c r="S7">
        <v>31.958822999999999</v>
      </c>
      <c r="T7" s="1" t="s">
        <v>29</v>
      </c>
      <c r="U7">
        <v>3.005471E-3</v>
      </c>
      <c r="V7" s="1" t="s">
        <v>30</v>
      </c>
      <c r="W7">
        <v>3.1010745999999999E-2</v>
      </c>
      <c r="X7">
        <v>16</v>
      </c>
      <c r="Y7">
        <v>5</v>
      </c>
      <c r="Z7">
        <v>10</v>
      </c>
      <c r="AA7">
        <v>1329</v>
      </c>
    </row>
    <row r="8" spans="1:31" x14ac:dyDescent="0.3">
      <c r="A8">
        <v>3.6386345E-2</v>
      </c>
      <c r="B8">
        <v>1.9728260869565217</v>
      </c>
      <c r="C8">
        <v>19.214284896850586</v>
      </c>
      <c r="D8">
        <v>1175</v>
      </c>
      <c r="E8">
        <v>33</v>
      </c>
      <c r="F8">
        <v>2706</v>
      </c>
      <c r="G8" s="1" t="s">
        <v>27</v>
      </c>
      <c r="I8">
        <v>0</v>
      </c>
      <c r="J8">
        <v>59</v>
      </c>
      <c r="K8">
        <v>2706</v>
      </c>
      <c r="L8">
        <v>8</v>
      </c>
      <c r="M8" s="1" t="s">
        <v>36</v>
      </c>
      <c r="N8">
        <v>38</v>
      </c>
      <c r="O8">
        <v>1089</v>
      </c>
      <c r="P8">
        <v>449</v>
      </c>
      <c r="Q8">
        <v>59</v>
      </c>
      <c r="R8">
        <v>1</v>
      </c>
      <c r="S8">
        <v>55.699525000000001</v>
      </c>
      <c r="T8" s="1" t="s">
        <v>29</v>
      </c>
      <c r="U8">
        <v>1.6766539E-2</v>
      </c>
      <c r="V8" s="1" t="s">
        <v>30</v>
      </c>
      <c r="W8">
        <v>5.3152214000000003E-2</v>
      </c>
      <c r="X8">
        <v>14</v>
      </c>
      <c r="Y8">
        <v>19</v>
      </c>
      <c r="Z8">
        <v>28</v>
      </c>
      <c r="AA8">
        <v>2706</v>
      </c>
    </row>
    <row r="9" spans="1:31" x14ac:dyDescent="0.3">
      <c r="A9">
        <v>2.6136765999999999E-2</v>
      </c>
      <c r="B9">
        <v>1.6223628691983123</v>
      </c>
      <c r="C9">
        <v>19.25</v>
      </c>
      <c r="D9">
        <v>876</v>
      </c>
      <c r="E9">
        <v>33</v>
      </c>
      <c r="F9">
        <v>2634</v>
      </c>
      <c r="G9" s="1" t="s">
        <v>27</v>
      </c>
      <c r="I9">
        <v>0</v>
      </c>
      <c r="J9">
        <v>49</v>
      </c>
      <c r="K9">
        <v>2634</v>
      </c>
      <c r="L9">
        <v>8</v>
      </c>
      <c r="M9" s="1" t="s">
        <v>37</v>
      </c>
      <c r="N9">
        <v>20</v>
      </c>
      <c r="O9">
        <v>769</v>
      </c>
      <c r="P9">
        <v>243</v>
      </c>
      <c r="Q9">
        <v>49</v>
      </c>
      <c r="R9">
        <v>1</v>
      </c>
      <c r="S9">
        <v>35.945843000000004</v>
      </c>
      <c r="T9" s="1" t="s">
        <v>29</v>
      </c>
      <c r="U9">
        <v>8.5122889999999993E-3</v>
      </c>
      <c r="V9" s="1" t="s">
        <v>30</v>
      </c>
      <c r="W9">
        <v>3.4648147999999997E-2</v>
      </c>
      <c r="X9">
        <v>12</v>
      </c>
      <c r="Y9">
        <v>11</v>
      </c>
      <c r="Z9">
        <v>26</v>
      </c>
      <c r="AA9">
        <v>2634</v>
      </c>
    </row>
    <row r="10" spans="1:31" x14ac:dyDescent="0.3">
      <c r="A10">
        <v>1.9101132E-2</v>
      </c>
      <c r="B10">
        <v>1.5816993464052287</v>
      </c>
      <c r="C10">
        <v>18.625</v>
      </c>
      <c r="D10">
        <v>307</v>
      </c>
      <c r="E10">
        <v>33</v>
      </c>
      <c r="F10">
        <v>2154</v>
      </c>
      <c r="G10" s="1" t="s">
        <v>27</v>
      </c>
      <c r="I10">
        <v>0</v>
      </c>
      <c r="J10">
        <v>51</v>
      </c>
      <c r="K10">
        <v>2154</v>
      </c>
      <c r="L10">
        <v>4</v>
      </c>
      <c r="M10" s="1" t="s">
        <v>38</v>
      </c>
      <c r="N10">
        <v>11</v>
      </c>
      <c r="O10">
        <v>484</v>
      </c>
      <c r="P10">
        <v>148</v>
      </c>
      <c r="Q10">
        <v>51</v>
      </c>
      <c r="R10">
        <v>1</v>
      </c>
      <c r="S10">
        <v>26.922851999999999</v>
      </c>
      <c r="T10" s="1" t="s">
        <v>29</v>
      </c>
      <c r="U10">
        <v>6.891627E-3</v>
      </c>
      <c r="V10" s="1" t="s">
        <v>30</v>
      </c>
      <c r="W10">
        <v>2.5991624000000001E-2</v>
      </c>
      <c r="X10">
        <v>8</v>
      </c>
      <c r="Y10">
        <v>6</v>
      </c>
      <c r="Z10">
        <v>33</v>
      </c>
      <c r="AA10">
        <v>2154</v>
      </c>
    </row>
    <row r="11" spans="1:31" x14ac:dyDescent="0.3">
      <c r="A11">
        <v>2.7100079000000003E-2</v>
      </c>
      <c r="B11">
        <v>2.8190476190476192</v>
      </c>
      <c r="C11">
        <v>12.625</v>
      </c>
      <c r="D11">
        <v>126</v>
      </c>
      <c r="E11">
        <v>33</v>
      </c>
      <c r="F11">
        <v>1918</v>
      </c>
      <c r="G11" s="1" t="s">
        <v>27</v>
      </c>
      <c r="I11">
        <v>0</v>
      </c>
      <c r="J11">
        <v>70</v>
      </c>
      <c r="K11">
        <v>1918</v>
      </c>
      <c r="L11">
        <v>8</v>
      </c>
      <c r="M11" s="1" t="s">
        <v>39</v>
      </c>
      <c r="N11">
        <v>24</v>
      </c>
      <c r="O11">
        <v>592</v>
      </c>
      <c r="P11">
        <v>316</v>
      </c>
      <c r="Q11">
        <v>70</v>
      </c>
      <c r="R11">
        <v>1</v>
      </c>
      <c r="S11">
        <v>51.596820000000001</v>
      </c>
      <c r="T11" s="1" t="s">
        <v>29</v>
      </c>
      <c r="U11">
        <v>2.2553013E-2</v>
      </c>
      <c r="V11" s="1" t="s">
        <v>30</v>
      </c>
      <c r="W11">
        <v>4.9651856000000001E-2</v>
      </c>
      <c r="X11">
        <v>8</v>
      </c>
      <c r="Y11">
        <v>14</v>
      </c>
      <c r="Z11">
        <v>45</v>
      </c>
      <c r="AA11">
        <v>1918</v>
      </c>
    </row>
    <row r="12" spans="1:31" x14ac:dyDescent="0.3">
      <c r="A12">
        <v>0.68487577399999999</v>
      </c>
      <c r="B12">
        <v>2.7309782608695654</v>
      </c>
      <c r="C12">
        <v>19.214284896850586</v>
      </c>
      <c r="D12">
        <v>4877</v>
      </c>
      <c r="E12">
        <v>33</v>
      </c>
      <c r="F12">
        <v>23648</v>
      </c>
      <c r="G12" s="1" t="s">
        <v>27</v>
      </c>
      <c r="I12">
        <v>0</v>
      </c>
      <c r="J12">
        <v>48</v>
      </c>
      <c r="K12">
        <v>23648</v>
      </c>
      <c r="L12">
        <v>21</v>
      </c>
      <c r="M12" s="1" t="s">
        <v>40</v>
      </c>
      <c r="N12">
        <v>248</v>
      </c>
      <c r="O12">
        <v>3015</v>
      </c>
      <c r="P12">
        <v>1280</v>
      </c>
      <c r="Q12">
        <v>48</v>
      </c>
      <c r="R12">
        <v>1</v>
      </c>
      <c r="S12">
        <v>1757.4585709999999</v>
      </c>
      <c r="T12" s="1" t="s">
        <v>29</v>
      </c>
      <c r="U12">
        <v>1.018485342</v>
      </c>
      <c r="V12" s="1" t="s">
        <v>30</v>
      </c>
      <c r="W12">
        <v>1.7033593119999999</v>
      </c>
      <c r="X12">
        <v>28</v>
      </c>
      <c r="Y12">
        <v>33</v>
      </c>
      <c r="Z12">
        <v>0</v>
      </c>
      <c r="AA12">
        <v>23648</v>
      </c>
    </row>
    <row r="13" spans="1:31" x14ac:dyDescent="0.3">
      <c r="A13">
        <v>6.5408087000000004E-2</v>
      </c>
      <c r="B13">
        <v>1.8090024330900243</v>
      </c>
      <c r="C13">
        <v>20.049999237060547</v>
      </c>
      <c r="D13">
        <v>2616</v>
      </c>
      <c r="E13">
        <v>33</v>
      </c>
      <c r="F13">
        <v>6574</v>
      </c>
      <c r="G13" s="1" t="s">
        <v>27</v>
      </c>
      <c r="I13">
        <v>0</v>
      </c>
      <c r="J13">
        <v>45</v>
      </c>
      <c r="K13">
        <v>6574</v>
      </c>
      <c r="L13">
        <v>10</v>
      </c>
      <c r="M13" s="1" t="s">
        <v>41</v>
      </c>
      <c r="N13">
        <v>75</v>
      </c>
      <c r="O13">
        <v>1487</v>
      </c>
      <c r="P13">
        <v>506</v>
      </c>
      <c r="Q13">
        <v>45</v>
      </c>
      <c r="R13">
        <v>1</v>
      </c>
      <c r="S13">
        <v>95.474373</v>
      </c>
      <c r="T13" s="1" t="s">
        <v>29</v>
      </c>
      <c r="U13">
        <v>2.5279902E-2</v>
      </c>
      <c r="V13" s="1" t="s">
        <v>30</v>
      </c>
      <c r="W13">
        <v>9.0687316000000004E-2</v>
      </c>
      <c r="X13">
        <v>20</v>
      </c>
      <c r="Y13">
        <v>28</v>
      </c>
      <c r="Z13">
        <v>4</v>
      </c>
      <c r="AA13">
        <v>6574</v>
      </c>
    </row>
    <row r="14" spans="1:31" x14ac:dyDescent="0.3">
      <c r="A14">
        <v>9.7440917999999987E-2</v>
      </c>
      <c r="B14">
        <v>2.7196850393700789</v>
      </c>
      <c r="C14">
        <v>18.176469802856445</v>
      </c>
      <c r="D14">
        <v>1632</v>
      </c>
      <c r="E14">
        <v>33</v>
      </c>
      <c r="F14">
        <v>4746</v>
      </c>
      <c r="G14" s="1" t="s">
        <v>27</v>
      </c>
      <c r="I14">
        <v>0</v>
      </c>
      <c r="J14">
        <v>63</v>
      </c>
      <c r="K14">
        <v>4746</v>
      </c>
      <c r="L14">
        <v>13</v>
      </c>
      <c r="M14" s="1" t="s">
        <v>31</v>
      </c>
      <c r="N14">
        <v>105</v>
      </c>
      <c r="O14">
        <v>1727</v>
      </c>
      <c r="P14">
        <v>848</v>
      </c>
      <c r="Q14">
        <v>63</v>
      </c>
      <c r="R14">
        <v>1</v>
      </c>
      <c r="S14">
        <v>232.48235700000001</v>
      </c>
      <c r="T14" s="1" t="s">
        <v>29</v>
      </c>
      <c r="U14">
        <v>0.12420264</v>
      </c>
      <c r="V14" s="1" t="s">
        <v>30</v>
      </c>
      <c r="W14">
        <v>0.22164249699999999</v>
      </c>
      <c r="X14">
        <v>17</v>
      </c>
      <c r="Y14">
        <v>41</v>
      </c>
      <c r="Z14">
        <v>9</v>
      </c>
      <c r="AA14">
        <v>4746</v>
      </c>
    </row>
    <row r="15" spans="1:31" x14ac:dyDescent="0.3">
      <c r="A15">
        <v>0.12531558900000001</v>
      </c>
      <c r="B15">
        <v>1.9967213114754099</v>
      </c>
      <c r="C15">
        <v>19.833333969116211</v>
      </c>
      <c r="D15">
        <v>6162</v>
      </c>
      <c r="E15">
        <v>33</v>
      </c>
      <c r="F15">
        <v>5090</v>
      </c>
      <c r="G15" s="1" t="s">
        <v>27</v>
      </c>
      <c r="I15">
        <v>0</v>
      </c>
      <c r="J15">
        <v>65</v>
      </c>
      <c r="K15">
        <v>5090</v>
      </c>
      <c r="L15">
        <v>13</v>
      </c>
      <c r="M15" s="1" t="s">
        <v>32</v>
      </c>
      <c r="N15">
        <v>120</v>
      </c>
      <c r="O15">
        <v>2436</v>
      </c>
      <c r="P15">
        <v>957</v>
      </c>
      <c r="Q15">
        <v>65</v>
      </c>
      <c r="R15">
        <v>1</v>
      </c>
      <c r="S15">
        <v>240.388327</v>
      </c>
      <c r="T15" s="1" t="s">
        <v>29</v>
      </c>
      <c r="U15">
        <v>0.105115346</v>
      </c>
      <c r="V15" s="1" t="s">
        <v>30</v>
      </c>
      <c r="W15">
        <v>0.23042953499999999</v>
      </c>
      <c r="X15">
        <v>30</v>
      </c>
      <c r="Y15">
        <v>42</v>
      </c>
      <c r="Z15">
        <v>10</v>
      </c>
      <c r="AA15">
        <v>5090</v>
      </c>
    </row>
    <row r="16" spans="1:31" x14ac:dyDescent="0.3">
      <c r="A16">
        <v>0.11461783400000002</v>
      </c>
      <c r="B16">
        <v>1.8906752411575563</v>
      </c>
      <c r="C16">
        <v>21.714284896850586</v>
      </c>
      <c r="D16">
        <v>6393</v>
      </c>
      <c r="E16">
        <v>33</v>
      </c>
      <c r="F16">
        <v>4950</v>
      </c>
      <c r="G16" s="1" t="s">
        <v>27</v>
      </c>
      <c r="I16">
        <v>0</v>
      </c>
      <c r="J16">
        <v>53</v>
      </c>
      <c r="K16">
        <v>4950</v>
      </c>
      <c r="L16">
        <v>9</v>
      </c>
      <c r="M16" s="1" t="s">
        <v>33</v>
      </c>
      <c r="N16">
        <v>106</v>
      </c>
      <c r="O16">
        <v>2352</v>
      </c>
      <c r="P16">
        <v>873</v>
      </c>
      <c r="Q16">
        <v>53</v>
      </c>
      <c r="R16">
        <v>1</v>
      </c>
      <c r="S16">
        <v>183.020466</v>
      </c>
      <c r="T16" s="1" t="s">
        <v>29</v>
      </c>
      <c r="U16">
        <v>5.9484416999999998E-2</v>
      </c>
      <c r="V16" s="1" t="s">
        <v>30</v>
      </c>
      <c r="W16">
        <v>0.17410160999999999</v>
      </c>
      <c r="X16">
        <v>28</v>
      </c>
      <c r="Y16">
        <v>34</v>
      </c>
      <c r="Z16">
        <v>6</v>
      </c>
      <c r="AA16">
        <v>4950</v>
      </c>
    </row>
    <row r="17" spans="1:27" x14ac:dyDescent="0.3">
      <c r="A17">
        <v>1.8290068999999999E-2</v>
      </c>
      <c r="B17">
        <v>1.1744548286604362</v>
      </c>
      <c r="C17">
        <v>17.333333969116211</v>
      </c>
      <c r="D17">
        <v>2022</v>
      </c>
      <c r="E17">
        <v>25</v>
      </c>
      <c r="F17">
        <v>969</v>
      </c>
      <c r="G17" s="1" t="s">
        <v>27</v>
      </c>
      <c r="I17">
        <v>0</v>
      </c>
      <c r="J17">
        <v>46</v>
      </c>
      <c r="K17">
        <v>969</v>
      </c>
      <c r="L17">
        <v>4</v>
      </c>
      <c r="M17" s="1" t="s">
        <v>42</v>
      </c>
      <c r="N17">
        <v>5</v>
      </c>
      <c r="O17">
        <v>754</v>
      </c>
      <c r="P17">
        <v>98</v>
      </c>
      <c r="Q17">
        <v>46</v>
      </c>
      <c r="R17">
        <v>1</v>
      </c>
      <c r="S17">
        <v>24.496659000000001</v>
      </c>
      <c r="T17" s="1" t="s">
        <v>29</v>
      </c>
      <c r="U17">
        <v>5.3717360000000002E-3</v>
      </c>
      <c r="V17" s="1" t="s">
        <v>30</v>
      </c>
      <c r="W17">
        <v>2.3661123999999999E-2</v>
      </c>
      <c r="X17">
        <v>18</v>
      </c>
      <c r="Y17">
        <v>3</v>
      </c>
      <c r="Z17">
        <v>33</v>
      </c>
      <c r="AA17">
        <v>969</v>
      </c>
    </row>
    <row r="18" spans="1:27" x14ac:dyDescent="0.3">
      <c r="A18">
        <v>2.4264044000000005E-2</v>
      </c>
      <c r="B18">
        <v>2.9526315789473685</v>
      </c>
      <c r="C18">
        <v>11.375</v>
      </c>
      <c r="D18">
        <v>130</v>
      </c>
      <c r="E18">
        <v>25</v>
      </c>
      <c r="F18">
        <v>5747</v>
      </c>
      <c r="G18" s="1" t="s">
        <v>27</v>
      </c>
      <c r="I18">
        <v>1</v>
      </c>
      <c r="J18">
        <v>45</v>
      </c>
      <c r="K18">
        <v>5747</v>
      </c>
      <c r="L18">
        <v>11</v>
      </c>
      <c r="M18" s="1" t="s">
        <v>43</v>
      </c>
      <c r="N18">
        <v>28</v>
      </c>
      <c r="O18">
        <v>561</v>
      </c>
      <c r="P18">
        <v>289</v>
      </c>
      <c r="Q18">
        <v>45</v>
      </c>
      <c r="R18">
        <v>1</v>
      </c>
      <c r="S18">
        <v>34.800108000000002</v>
      </c>
      <c r="T18" s="1" t="s">
        <v>29</v>
      </c>
      <c r="U18">
        <v>9.4842929999999995E-3</v>
      </c>
      <c r="V18" s="1" t="s">
        <v>30</v>
      </c>
      <c r="W18">
        <v>3.3747541999999998E-2</v>
      </c>
      <c r="X18">
        <v>8</v>
      </c>
      <c r="Y18">
        <v>15</v>
      </c>
      <c r="Z18">
        <v>17</v>
      </c>
      <c r="AA18">
        <v>5747</v>
      </c>
    </row>
    <row r="19" spans="1:27" x14ac:dyDescent="0.3">
      <c r="A19">
        <v>11.600949308999997</v>
      </c>
      <c r="B19">
        <v>2.408805031446541</v>
      </c>
      <c r="C19">
        <v>15.399999618530273</v>
      </c>
      <c r="D19">
        <v>3202</v>
      </c>
      <c r="E19">
        <v>25</v>
      </c>
      <c r="F19">
        <v>75744</v>
      </c>
      <c r="G19" s="1" t="s">
        <v>27</v>
      </c>
      <c r="I19">
        <v>2</v>
      </c>
      <c r="J19">
        <v>37</v>
      </c>
      <c r="K19">
        <v>75744</v>
      </c>
      <c r="L19">
        <v>29</v>
      </c>
      <c r="M19" s="1" t="s">
        <v>44</v>
      </c>
      <c r="N19">
        <v>324</v>
      </c>
      <c r="O19">
        <v>1915</v>
      </c>
      <c r="P19">
        <v>432</v>
      </c>
      <c r="Q19">
        <v>37</v>
      </c>
      <c r="R19">
        <v>1</v>
      </c>
      <c r="S19">
        <v>15023.659355</v>
      </c>
      <c r="T19" s="1" t="s">
        <v>29</v>
      </c>
      <c r="U19">
        <v>4.5753053560000003</v>
      </c>
      <c r="V19" s="1" t="s">
        <v>30</v>
      </c>
      <c r="W19">
        <v>16.176253277000001</v>
      </c>
      <c r="X19">
        <v>25</v>
      </c>
      <c r="Y19">
        <v>20</v>
      </c>
      <c r="Z19">
        <v>0</v>
      </c>
      <c r="AA19">
        <v>75744</v>
      </c>
    </row>
    <row r="20" spans="1:27" x14ac:dyDescent="0.3">
      <c r="A20">
        <v>1.6037082000000001E-2</v>
      </c>
      <c r="B20">
        <v>1.2222222222222223</v>
      </c>
      <c r="C20">
        <v>16.214284896850586</v>
      </c>
      <c r="D20">
        <v>970</v>
      </c>
      <c r="E20">
        <v>25</v>
      </c>
      <c r="F20">
        <v>918</v>
      </c>
      <c r="G20" s="1" t="s">
        <v>27</v>
      </c>
      <c r="I20">
        <v>3</v>
      </c>
      <c r="J20">
        <v>33</v>
      </c>
      <c r="K20">
        <v>918</v>
      </c>
      <c r="L20">
        <v>5</v>
      </c>
      <c r="M20" s="1" t="s">
        <v>45</v>
      </c>
      <c r="N20">
        <v>9</v>
      </c>
      <c r="O20">
        <v>572</v>
      </c>
      <c r="P20">
        <v>80</v>
      </c>
      <c r="Q20">
        <v>33</v>
      </c>
      <c r="R20">
        <v>1</v>
      </c>
      <c r="S20">
        <v>5521.8238510000001</v>
      </c>
      <c r="T20" s="1" t="s">
        <v>29</v>
      </c>
      <c r="U20">
        <v>6.2964939999999997E-3</v>
      </c>
      <c r="V20" s="1" t="s">
        <v>30</v>
      </c>
      <c r="W20">
        <v>2.2332568000000001E-2</v>
      </c>
      <c r="X20">
        <v>14</v>
      </c>
      <c r="Y20">
        <v>5</v>
      </c>
      <c r="Z20">
        <v>18</v>
      </c>
      <c r="AA20">
        <v>918</v>
      </c>
    </row>
    <row r="21" spans="1:27" x14ac:dyDescent="0.3">
      <c r="A21">
        <v>1.7709551E-2</v>
      </c>
      <c r="B21">
        <v>1.4183006535947713</v>
      </c>
      <c r="C21">
        <v>14.800000190734863</v>
      </c>
      <c r="D21">
        <v>87</v>
      </c>
      <c r="E21">
        <v>25</v>
      </c>
      <c r="F21">
        <v>347</v>
      </c>
      <c r="G21" s="1" t="s">
        <v>27</v>
      </c>
      <c r="I21">
        <v>0</v>
      </c>
      <c r="J21">
        <v>55</v>
      </c>
      <c r="K21">
        <v>347</v>
      </c>
      <c r="L21">
        <v>3</v>
      </c>
      <c r="M21" s="1" t="s">
        <v>46</v>
      </c>
      <c r="N21">
        <v>2</v>
      </c>
      <c r="O21">
        <v>217</v>
      </c>
      <c r="P21">
        <v>58</v>
      </c>
      <c r="Q21">
        <v>55</v>
      </c>
      <c r="R21">
        <v>1</v>
      </c>
      <c r="S21">
        <v>24.643253000000001</v>
      </c>
      <c r="T21" s="1" t="s">
        <v>29</v>
      </c>
      <c r="U21">
        <v>5.9313489999999998E-3</v>
      </c>
      <c r="V21" s="1" t="s">
        <v>30</v>
      </c>
      <c r="W21">
        <v>2.3640006000000002E-2</v>
      </c>
      <c r="X21">
        <v>5</v>
      </c>
      <c r="Y21">
        <v>1</v>
      </c>
      <c r="Z21">
        <v>45</v>
      </c>
      <c r="AA21">
        <v>347</v>
      </c>
    </row>
    <row r="22" spans="1:27" x14ac:dyDescent="0.3">
      <c r="A22">
        <v>1.8226441999999999E-2</v>
      </c>
      <c r="B22">
        <v>1.7167630057803469</v>
      </c>
      <c r="C22">
        <v>16.799999237060547</v>
      </c>
      <c r="D22">
        <v>136</v>
      </c>
      <c r="E22">
        <v>20</v>
      </c>
      <c r="F22">
        <v>629</v>
      </c>
      <c r="G22" s="1" t="s">
        <v>27</v>
      </c>
      <c r="I22">
        <v>0</v>
      </c>
      <c r="J22">
        <v>38</v>
      </c>
      <c r="K22">
        <v>629</v>
      </c>
      <c r="L22">
        <v>5</v>
      </c>
      <c r="M22" s="1" t="s">
        <v>47</v>
      </c>
      <c r="N22">
        <v>9</v>
      </c>
      <c r="O22">
        <v>297</v>
      </c>
      <c r="P22">
        <v>96</v>
      </c>
      <c r="Q22">
        <v>38</v>
      </c>
      <c r="R22">
        <v>1</v>
      </c>
      <c r="S22">
        <v>24.920282</v>
      </c>
      <c r="T22" s="1" t="s">
        <v>29</v>
      </c>
      <c r="U22">
        <v>5.7477099999999996E-3</v>
      </c>
      <c r="V22" s="1" t="s">
        <v>30</v>
      </c>
      <c r="W22">
        <v>2.3973148E-2</v>
      </c>
      <c r="X22">
        <v>5</v>
      </c>
      <c r="Y22">
        <v>5</v>
      </c>
      <c r="Z22">
        <v>23</v>
      </c>
      <c r="AA22">
        <v>629</v>
      </c>
    </row>
    <row r="23" spans="1:27" x14ac:dyDescent="0.3">
      <c r="A23">
        <v>0.20063491999999999</v>
      </c>
      <c r="B23">
        <v>2.0410334346504557</v>
      </c>
      <c r="C23">
        <v>15.949999809265137</v>
      </c>
      <c r="D23">
        <v>2246</v>
      </c>
      <c r="E23">
        <v>25</v>
      </c>
      <c r="F23">
        <v>53651</v>
      </c>
      <c r="G23" s="1" t="s">
        <v>27</v>
      </c>
      <c r="I23">
        <v>0</v>
      </c>
      <c r="J23">
        <v>39</v>
      </c>
      <c r="K23">
        <v>53651</v>
      </c>
      <c r="L23">
        <v>16</v>
      </c>
      <c r="M23" s="1" t="s">
        <v>48</v>
      </c>
      <c r="N23">
        <v>147</v>
      </c>
      <c r="O23">
        <v>1343</v>
      </c>
      <c r="P23">
        <v>346</v>
      </c>
      <c r="Q23">
        <v>39</v>
      </c>
      <c r="R23">
        <v>1</v>
      </c>
      <c r="S23">
        <v>340.85036500000001</v>
      </c>
      <c r="T23" s="1" t="s">
        <v>29</v>
      </c>
      <c r="U23">
        <v>0.118593477</v>
      </c>
      <c r="V23" s="1" t="s">
        <v>30</v>
      </c>
      <c r="W23">
        <v>0.31922748299999998</v>
      </c>
      <c r="X23">
        <v>20</v>
      </c>
      <c r="Y23">
        <v>23</v>
      </c>
      <c r="Z23">
        <v>0</v>
      </c>
      <c r="AA23">
        <v>53651</v>
      </c>
    </row>
    <row r="24" spans="1:27" x14ac:dyDescent="0.3">
      <c r="A24">
        <v>1.7145347999999998E-2</v>
      </c>
      <c r="B24">
        <v>1.284153005464481</v>
      </c>
      <c r="C24">
        <v>17.799999237060547</v>
      </c>
      <c r="D24">
        <v>136</v>
      </c>
      <c r="E24">
        <v>25</v>
      </c>
      <c r="F24">
        <v>288</v>
      </c>
      <c r="G24" s="1" t="s">
        <v>27</v>
      </c>
      <c r="I24">
        <v>0</v>
      </c>
      <c r="J24">
        <v>46</v>
      </c>
      <c r="K24">
        <v>288</v>
      </c>
      <c r="L24">
        <v>3</v>
      </c>
      <c r="M24" s="1" t="s">
        <v>49</v>
      </c>
      <c r="N24">
        <v>2</v>
      </c>
      <c r="O24">
        <v>235</v>
      </c>
      <c r="P24">
        <v>46</v>
      </c>
      <c r="Q24">
        <v>46</v>
      </c>
      <c r="R24">
        <v>1</v>
      </c>
      <c r="S24">
        <v>23.356961999999999</v>
      </c>
      <c r="T24" s="1" t="s">
        <v>29</v>
      </c>
      <c r="U24">
        <v>5.3863640000000003E-3</v>
      </c>
      <c r="V24" s="1" t="s">
        <v>30</v>
      </c>
      <c r="W24">
        <v>2.2530873E-2</v>
      </c>
      <c r="X24">
        <v>5</v>
      </c>
      <c r="Y24">
        <v>1</v>
      </c>
      <c r="Z24">
        <v>36</v>
      </c>
      <c r="AA24">
        <v>288</v>
      </c>
    </row>
    <row r="25" spans="1:27" x14ac:dyDescent="0.3">
      <c r="A25">
        <v>1.9907080000000001E-2</v>
      </c>
      <c r="B25">
        <v>1.3184713375796178</v>
      </c>
      <c r="C25">
        <v>15.199999809265137</v>
      </c>
      <c r="D25">
        <v>93</v>
      </c>
      <c r="E25">
        <v>25</v>
      </c>
      <c r="F25">
        <v>176</v>
      </c>
      <c r="G25" s="1" t="s">
        <v>27</v>
      </c>
      <c r="I25">
        <v>0</v>
      </c>
      <c r="J25">
        <v>44</v>
      </c>
      <c r="K25">
        <v>176</v>
      </c>
      <c r="L25">
        <v>3</v>
      </c>
      <c r="M25" s="1" t="s">
        <v>50</v>
      </c>
      <c r="N25">
        <v>2</v>
      </c>
      <c r="O25">
        <v>207</v>
      </c>
      <c r="P25">
        <v>44</v>
      </c>
      <c r="Q25">
        <v>44</v>
      </c>
      <c r="R25">
        <v>1</v>
      </c>
      <c r="S25">
        <v>29.065926999999999</v>
      </c>
      <c r="T25" s="1" t="s">
        <v>29</v>
      </c>
      <c r="U25">
        <v>7.8254029999999999E-3</v>
      </c>
      <c r="V25" s="1" t="s">
        <v>30</v>
      </c>
      <c r="W25">
        <v>2.7731235E-2</v>
      </c>
      <c r="X25">
        <v>5</v>
      </c>
      <c r="Y25">
        <v>1</v>
      </c>
      <c r="Z25">
        <v>35</v>
      </c>
      <c r="AA25">
        <v>176</v>
      </c>
    </row>
    <row r="26" spans="1:27" x14ac:dyDescent="0.3">
      <c r="A26">
        <v>6.7734155320000013</v>
      </c>
      <c r="B26">
        <v>2.8809523809523809</v>
      </c>
      <c r="C26">
        <v>15.25</v>
      </c>
      <c r="D26">
        <v>2865</v>
      </c>
      <c r="E26">
        <v>25</v>
      </c>
      <c r="F26">
        <v>66037</v>
      </c>
      <c r="G26" s="1" t="s">
        <v>27</v>
      </c>
      <c r="I26">
        <v>0</v>
      </c>
      <c r="J26">
        <v>44</v>
      </c>
      <c r="K26">
        <v>66037</v>
      </c>
      <c r="L26">
        <v>30</v>
      </c>
      <c r="M26" s="1" t="s">
        <v>51</v>
      </c>
      <c r="N26">
        <v>367</v>
      </c>
      <c r="O26">
        <v>2178</v>
      </c>
      <c r="P26">
        <v>662</v>
      </c>
      <c r="Q26">
        <v>44</v>
      </c>
      <c r="R26">
        <v>1</v>
      </c>
      <c r="S26">
        <v>16070.920603</v>
      </c>
      <c r="T26" s="1" t="s">
        <v>29</v>
      </c>
      <c r="U26">
        <v>10.293720423</v>
      </c>
      <c r="V26" s="1" t="s">
        <v>30</v>
      </c>
      <c r="W26">
        <v>17.067133931000001</v>
      </c>
      <c r="X26">
        <v>24</v>
      </c>
      <c r="Y26">
        <v>27</v>
      </c>
      <c r="Z26">
        <v>0</v>
      </c>
      <c r="AA26">
        <v>66037</v>
      </c>
    </row>
    <row r="27" spans="1:27" x14ac:dyDescent="0.3">
      <c r="A27">
        <v>1.7273405999999998E-2</v>
      </c>
      <c r="B27">
        <v>1.2877697841726619</v>
      </c>
      <c r="C27">
        <v>13.399999618530273</v>
      </c>
      <c r="D27">
        <v>72</v>
      </c>
      <c r="E27">
        <v>25</v>
      </c>
      <c r="F27">
        <v>676</v>
      </c>
      <c r="G27" s="1" t="s">
        <v>27</v>
      </c>
      <c r="I27">
        <v>0</v>
      </c>
      <c r="J27">
        <v>46</v>
      </c>
      <c r="K27">
        <v>676</v>
      </c>
      <c r="L27">
        <v>2</v>
      </c>
      <c r="M27" s="1" t="s">
        <v>52</v>
      </c>
      <c r="N27">
        <v>1</v>
      </c>
      <c r="O27">
        <v>179</v>
      </c>
      <c r="P27">
        <v>36</v>
      </c>
      <c r="Q27">
        <v>46</v>
      </c>
      <c r="R27">
        <v>1</v>
      </c>
      <c r="S27">
        <v>22.162289000000001</v>
      </c>
      <c r="T27" s="1" t="s">
        <v>29</v>
      </c>
      <c r="U27">
        <v>4.1496579999999996E-3</v>
      </c>
      <c r="V27" s="1" t="s">
        <v>30</v>
      </c>
      <c r="W27">
        <v>2.1422304E-2</v>
      </c>
      <c r="X27">
        <v>5</v>
      </c>
      <c r="Y27">
        <v>0</v>
      </c>
      <c r="Z27">
        <v>36</v>
      </c>
      <c r="AA27">
        <v>676</v>
      </c>
    </row>
    <row r="28" spans="1:27" x14ac:dyDescent="0.3">
      <c r="A28">
        <v>3.2630998999999994E-2</v>
      </c>
      <c r="B28">
        <v>2.984771573604061</v>
      </c>
      <c r="C28">
        <v>13.571428298950195</v>
      </c>
      <c r="D28">
        <v>150</v>
      </c>
      <c r="E28">
        <v>25</v>
      </c>
      <c r="F28">
        <v>5969</v>
      </c>
      <c r="G28" s="1" t="s">
        <v>27</v>
      </c>
      <c r="I28">
        <v>0</v>
      </c>
      <c r="J28">
        <v>68</v>
      </c>
      <c r="K28">
        <v>5969</v>
      </c>
      <c r="L28">
        <v>11</v>
      </c>
      <c r="M28" s="1" t="s">
        <v>53</v>
      </c>
      <c r="N28">
        <v>34</v>
      </c>
      <c r="O28">
        <v>588</v>
      </c>
      <c r="P28">
        <v>303</v>
      </c>
      <c r="Q28">
        <v>68</v>
      </c>
      <c r="R28">
        <v>1</v>
      </c>
      <c r="S28">
        <v>47.900376000000001</v>
      </c>
      <c r="T28" s="1" t="s">
        <v>29</v>
      </c>
      <c r="U28">
        <v>1.3204679E-2</v>
      </c>
      <c r="V28" s="1" t="s">
        <v>30</v>
      </c>
      <c r="W28">
        <v>4.5834651999999997E-2</v>
      </c>
      <c r="X28">
        <v>7</v>
      </c>
      <c r="Y28">
        <v>22</v>
      </c>
      <c r="Z28">
        <v>33</v>
      </c>
      <c r="AA28">
        <v>5969</v>
      </c>
    </row>
    <row r="29" spans="1:27" x14ac:dyDescent="0.3">
      <c r="A29">
        <v>2.9094548999999997E-2</v>
      </c>
      <c r="B29">
        <v>3.3842105263157896</v>
      </c>
      <c r="C29">
        <v>11.375</v>
      </c>
      <c r="D29">
        <v>130</v>
      </c>
      <c r="E29">
        <v>25</v>
      </c>
      <c r="F29">
        <v>5747</v>
      </c>
      <c r="G29" s="1" t="s">
        <v>27</v>
      </c>
      <c r="I29">
        <v>0</v>
      </c>
      <c r="J29">
        <v>48</v>
      </c>
      <c r="K29">
        <v>5747</v>
      </c>
      <c r="L29">
        <v>13</v>
      </c>
      <c r="M29" s="1" t="s">
        <v>43</v>
      </c>
      <c r="N29">
        <v>35</v>
      </c>
      <c r="O29">
        <v>643</v>
      </c>
      <c r="P29">
        <v>353</v>
      </c>
      <c r="Q29">
        <v>48</v>
      </c>
      <c r="R29">
        <v>1</v>
      </c>
      <c r="S29">
        <v>41.716543999999999</v>
      </c>
      <c r="T29" s="1" t="s">
        <v>29</v>
      </c>
      <c r="U29">
        <v>1.05608E-2</v>
      </c>
      <c r="V29" s="1" t="s">
        <v>30</v>
      </c>
      <c r="W29">
        <v>3.9654583E-2</v>
      </c>
      <c r="X29">
        <v>8</v>
      </c>
      <c r="Y29">
        <v>19</v>
      </c>
      <c r="Z29">
        <v>16</v>
      </c>
      <c r="AA29">
        <v>5747</v>
      </c>
    </row>
    <row r="30" spans="1:27" x14ac:dyDescent="0.3">
      <c r="A30">
        <v>9.5321628339999993</v>
      </c>
      <c r="B30">
        <v>2.2867924528301886</v>
      </c>
      <c r="C30">
        <v>15.399999618530273</v>
      </c>
      <c r="D30">
        <v>3202</v>
      </c>
      <c r="E30">
        <v>25</v>
      </c>
      <c r="F30">
        <v>75744</v>
      </c>
      <c r="G30" s="1" t="s">
        <v>27</v>
      </c>
      <c r="I30">
        <v>0</v>
      </c>
      <c r="J30">
        <v>36</v>
      </c>
      <c r="K30">
        <v>75744</v>
      </c>
      <c r="L30">
        <v>27</v>
      </c>
      <c r="M30" s="1" t="s">
        <v>44</v>
      </c>
      <c r="N30">
        <v>271</v>
      </c>
      <c r="O30">
        <v>1818</v>
      </c>
      <c r="P30">
        <v>410</v>
      </c>
      <c r="Q30">
        <v>36</v>
      </c>
      <c r="R30">
        <v>1</v>
      </c>
      <c r="S30">
        <v>17190.149009000001</v>
      </c>
      <c r="T30" s="1" t="s">
        <v>29</v>
      </c>
      <c r="U30">
        <v>2.9138406880000001</v>
      </c>
      <c r="V30" s="1" t="s">
        <v>30</v>
      </c>
      <c r="W30">
        <v>12.446002463999999</v>
      </c>
      <c r="X30">
        <v>25</v>
      </c>
      <c r="Y30">
        <v>19</v>
      </c>
      <c r="Z30">
        <v>0</v>
      </c>
      <c r="AA30">
        <v>75744</v>
      </c>
    </row>
    <row r="31" spans="1:27" x14ac:dyDescent="0.3">
      <c r="A31">
        <v>1.9612128999999999E-2</v>
      </c>
      <c r="B31">
        <v>1.232905982905983</v>
      </c>
      <c r="C31">
        <v>16.214284896850586</v>
      </c>
      <c r="D31">
        <v>970</v>
      </c>
      <c r="E31">
        <v>25</v>
      </c>
      <c r="F31">
        <v>918</v>
      </c>
      <c r="G31" s="1" t="s">
        <v>27</v>
      </c>
      <c r="I31">
        <v>0</v>
      </c>
      <c r="J31">
        <v>34</v>
      </c>
      <c r="K31">
        <v>918</v>
      </c>
      <c r="L31">
        <v>5</v>
      </c>
      <c r="M31" s="1" t="s">
        <v>45</v>
      </c>
      <c r="N31">
        <v>9</v>
      </c>
      <c r="O31">
        <v>577</v>
      </c>
      <c r="P31">
        <v>85</v>
      </c>
      <c r="Q31">
        <v>34</v>
      </c>
      <c r="R31">
        <v>1</v>
      </c>
      <c r="S31">
        <v>26.085592999999999</v>
      </c>
      <c r="T31" s="1" t="s">
        <v>29</v>
      </c>
      <c r="U31">
        <v>5.4653879999999998E-3</v>
      </c>
      <c r="V31" s="1" t="s">
        <v>30</v>
      </c>
      <c r="W31">
        <v>2.5076147999999999E-2</v>
      </c>
      <c r="X31">
        <v>14</v>
      </c>
      <c r="Y31">
        <v>5</v>
      </c>
      <c r="Z31">
        <v>19</v>
      </c>
      <c r="AA31">
        <v>918</v>
      </c>
    </row>
    <row r="32" spans="1:27" x14ac:dyDescent="0.3">
      <c r="G32" s="1" t="s">
        <v>54</v>
      </c>
      <c r="H32">
        <v>124</v>
      </c>
      <c r="M32" s="1" t="s">
        <v>55</v>
      </c>
      <c r="T32" s="1" t="s">
        <v>56</v>
      </c>
      <c r="V32" s="1" t="s">
        <v>57</v>
      </c>
    </row>
    <row r="33" spans="1:27" x14ac:dyDescent="0.3">
      <c r="A33">
        <v>0.6976557260000007</v>
      </c>
      <c r="B33">
        <v>4.1784615384615389</v>
      </c>
      <c r="C33">
        <v>19</v>
      </c>
      <c r="D33">
        <v>3735</v>
      </c>
      <c r="E33">
        <v>33</v>
      </c>
      <c r="F33">
        <v>7912</v>
      </c>
      <c r="G33" s="1" t="s">
        <v>27</v>
      </c>
      <c r="I33">
        <v>0</v>
      </c>
      <c r="J33">
        <v>55</v>
      </c>
      <c r="K33">
        <v>7912</v>
      </c>
      <c r="L33">
        <v>19</v>
      </c>
      <c r="M33" s="1" t="s">
        <v>58</v>
      </c>
      <c r="N33">
        <v>435</v>
      </c>
      <c r="O33">
        <v>4074</v>
      </c>
      <c r="P33">
        <v>2196</v>
      </c>
      <c r="Q33">
        <v>55</v>
      </c>
      <c r="R33">
        <v>1</v>
      </c>
      <c r="S33">
        <v>13995.152801</v>
      </c>
      <c r="T33" s="1" t="s">
        <v>29</v>
      </c>
      <c r="U33">
        <v>8.2526794179999996</v>
      </c>
      <c r="V33" s="1" t="s">
        <v>30</v>
      </c>
      <c r="W33">
        <v>8.9503339030000006</v>
      </c>
      <c r="X33">
        <v>25</v>
      </c>
      <c r="Y33">
        <v>42</v>
      </c>
      <c r="Z33">
        <v>0</v>
      </c>
      <c r="AA33">
        <v>7912</v>
      </c>
    </row>
    <row r="34" spans="1:27" x14ac:dyDescent="0.3">
      <c r="A34">
        <v>0.11736758000000003</v>
      </c>
      <c r="B34">
        <v>3.6584699453551912</v>
      </c>
      <c r="C34">
        <v>22.375</v>
      </c>
      <c r="D34">
        <v>2061</v>
      </c>
      <c r="E34">
        <v>33</v>
      </c>
      <c r="F34">
        <v>2148</v>
      </c>
      <c r="G34" s="1" t="s">
        <v>27</v>
      </c>
      <c r="I34">
        <v>0</v>
      </c>
      <c r="J34">
        <v>61</v>
      </c>
      <c r="K34">
        <v>2148</v>
      </c>
      <c r="L34">
        <v>13</v>
      </c>
      <c r="M34" s="1" t="s">
        <v>59</v>
      </c>
      <c r="N34">
        <v>177</v>
      </c>
      <c r="O34">
        <v>2678</v>
      </c>
      <c r="P34">
        <v>1513</v>
      </c>
      <c r="Q34">
        <v>61</v>
      </c>
      <c r="R34">
        <v>1</v>
      </c>
      <c r="S34">
        <v>292.54651699999999</v>
      </c>
      <c r="T34" s="1" t="s">
        <v>29</v>
      </c>
      <c r="U34">
        <v>0.16369956899999999</v>
      </c>
      <c r="V34" s="1" t="s">
        <v>30</v>
      </c>
      <c r="W34">
        <v>0.28106642599999998</v>
      </c>
      <c r="X34">
        <v>16</v>
      </c>
      <c r="Y34">
        <v>43</v>
      </c>
      <c r="Z34">
        <v>6</v>
      </c>
      <c r="AA34">
        <v>2148</v>
      </c>
    </row>
    <row r="35" spans="1:27" x14ac:dyDescent="0.3">
      <c r="A35">
        <v>4.1397766000000003E-2</v>
      </c>
      <c r="B35">
        <v>2.3260869565217392</v>
      </c>
      <c r="C35">
        <v>19.214284896850586</v>
      </c>
      <c r="D35">
        <v>1175</v>
      </c>
      <c r="E35">
        <v>33</v>
      </c>
      <c r="F35">
        <v>2103</v>
      </c>
      <c r="G35" s="1" t="s">
        <v>27</v>
      </c>
      <c r="I35">
        <v>0</v>
      </c>
      <c r="J35">
        <v>47</v>
      </c>
      <c r="K35">
        <v>2103</v>
      </c>
      <c r="L35">
        <v>8</v>
      </c>
      <c r="M35" s="1" t="s">
        <v>60</v>
      </c>
      <c r="N35">
        <v>56</v>
      </c>
      <c r="O35">
        <v>1284</v>
      </c>
      <c r="P35">
        <v>573</v>
      </c>
      <c r="Q35">
        <v>47</v>
      </c>
      <c r="R35">
        <v>1</v>
      </c>
      <c r="S35">
        <v>67.599903999999995</v>
      </c>
      <c r="T35" s="1" t="s">
        <v>29</v>
      </c>
      <c r="U35">
        <v>2.2801511999999999E-2</v>
      </c>
      <c r="V35" s="1" t="s">
        <v>30</v>
      </c>
      <c r="W35">
        <v>6.4198455000000001E-2</v>
      </c>
      <c r="X35">
        <v>14</v>
      </c>
      <c r="Y35">
        <v>20</v>
      </c>
      <c r="Z35">
        <v>15</v>
      </c>
      <c r="AA35">
        <v>2103</v>
      </c>
    </row>
    <row r="36" spans="1:27" x14ac:dyDescent="0.3">
      <c r="A36">
        <v>8.9929762999999996E-2</v>
      </c>
      <c r="B36">
        <v>2.7320675105485233</v>
      </c>
      <c r="C36">
        <v>19.25</v>
      </c>
      <c r="D36">
        <v>876</v>
      </c>
      <c r="E36">
        <v>33</v>
      </c>
      <c r="F36">
        <v>2773</v>
      </c>
      <c r="G36" s="1" t="s">
        <v>27</v>
      </c>
      <c r="I36">
        <v>0</v>
      </c>
      <c r="J36">
        <v>60</v>
      </c>
      <c r="K36">
        <v>2773</v>
      </c>
      <c r="L36">
        <v>15</v>
      </c>
      <c r="M36" s="1" t="s">
        <v>61</v>
      </c>
      <c r="N36">
        <v>96</v>
      </c>
      <c r="O36">
        <v>1295</v>
      </c>
      <c r="P36">
        <v>641</v>
      </c>
      <c r="Q36">
        <v>60</v>
      </c>
      <c r="R36">
        <v>1</v>
      </c>
      <c r="S36">
        <v>284.448082</v>
      </c>
      <c r="T36" s="1" t="s">
        <v>29</v>
      </c>
      <c r="U36">
        <v>0.18272445500000001</v>
      </c>
      <c r="V36" s="1" t="s">
        <v>30</v>
      </c>
      <c r="W36">
        <v>0.27265306900000003</v>
      </c>
      <c r="X36">
        <v>12</v>
      </c>
      <c r="Y36">
        <v>35</v>
      </c>
      <c r="Z36">
        <v>13</v>
      </c>
      <c r="AA36">
        <v>2773</v>
      </c>
    </row>
    <row r="37" spans="1:27" x14ac:dyDescent="0.3">
      <c r="A37">
        <v>2.5912515999999997E-2</v>
      </c>
      <c r="B37">
        <v>2.1862745098039214</v>
      </c>
      <c r="C37">
        <v>18.625</v>
      </c>
      <c r="D37">
        <v>307</v>
      </c>
      <c r="E37">
        <v>33</v>
      </c>
      <c r="F37">
        <v>1760</v>
      </c>
      <c r="G37" s="1" t="s">
        <v>27</v>
      </c>
      <c r="I37">
        <v>0</v>
      </c>
      <c r="J37">
        <v>61</v>
      </c>
      <c r="K37">
        <v>1760</v>
      </c>
      <c r="L37">
        <v>6</v>
      </c>
      <c r="M37" s="1" t="s">
        <v>62</v>
      </c>
      <c r="N37">
        <v>29</v>
      </c>
      <c r="O37">
        <v>669</v>
      </c>
      <c r="P37">
        <v>297</v>
      </c>
      <c r="Q37">
        <v>61</v>
      </c>
      <c r="R37">
        <v>1</v>
      </c>
      <c r="S37">
        <v>40.511111</v>
      </c>
      <c r="T37" s="1" t="s">
        <v>29</v>
      </c>
      <c r="U37">
        <v>1.2817408000000001E-2</v>
      </c>
      <c r="V37" s="1" t="s">
        <v>30</v>
      </c>
      <c r="W37">
        <v>3.8729008000000002E-2</v>
      </c>
      <c r="X37">
        <v>8</v>
      </c>
      <c r="Y37">
        <v>17</v>
      </c>
      <c r="Z37">
        <v>33</v>
      </c>
      <c r="AA37">
        <v>1760</v>
      </c>
    </row>
    <row r="38" spans="1:27" x14ac:dyDescent="0.3">
      <c r="A38">
        <v>2.5519308000000001E-2</v>
      </c>
      <c r="B38">
        <v>3.0904761904761906</v>
      </c>
      <c r="C38">
        <v>12.625</v>
      </c>
      <c r="D38">
        <v>126</v>
      </c>
      <c r="E38">
        <v>33</v>
      </c>
      <c r="F38">
        <v>1393</v>
      </c>
      <c r="G38" s="1" t="s">
        <v>27</v>
      </c>
      <c r="I38">
        <v>0</v>
      </c>
      <c r="J38">
        <v>70</v>
      </c>
      <c r="K38">
        <v>1393</v>
      </c>
      <c r="L38">
        <v>12</v>
      </c>
      <c r="M38" s="1" t="s">
        <v>63</v>
      </c>
      <c r="N38">
        <v>34</v>
      </c>
      <c r="O38">
        <v>649</v>
      </c>
      <c r="P38">
        <v>348</v>
      </c>
      <c r="Q38">
        <v>70</v>
      </c>
      <c r="R38">
        <v>1</v>
      </c>
      <c r="S38">
        <v>41.249195</v>
      </c>
      <c r="T38" s="1" t="s">
        <v>29</v>
      </c>
      <c r="U38">
        <v>1.4399446999999999E-2</v>
      </c>
      <c r="V38" s="1" t="s">
        <v>30</v>
      </c>
      <c r="W38">
        <v>3.9913243000000001E-2</v>
      </c>
      <c r="X38">
        <v>8</v>
      </c>
      <c r="Y38">
        <v>20</v>
      </c>
      <c r="Z38">
        <v>39</v>
      </c>
      <c r="AA38">
        <v>1393</v>
      </c>
    </row>
    <row r="39" spans="1:27" x14ac:dyDescent="0.3">
      <c r="C39">
        <v>19.888889312744141</v>
      </c>
      <c r="D39">
        <v>4862</v>
      </c>
      <c r="E39">
        <v>33</v>
      </c>
      <c r="G39" s="1" t="s">
        <v>27</v>
      </c>
      <c r="I39">
        <v>0</v>
      </c>
      <c r="M39" s="1" t="s">
        <v>64</v>
      </c>
      <c r="T39" s="1" t="s">
        <v>29</v>
      </c>
      <c r="V39" s="1" t="s">
        <v>65</v>
      </c>
      <c r="X39">
        <v>27</v>
      </c>
    </row>
    <row r="40" spans="1:27" x14ac:dyDescent="0.3">
      <c r="A40">
        <v>1.0619256470000007</v>
      </c>
      <c r="B40">
        <v>5.1070559610705599</v>
      </c>
      <c r="C40">
        <v>20.049999237060547</v>
      </c>
      <c r="D40">
        <v>2616</v>
      </c>
      <c r="E40">
        <v>33</v>
      </c>
      <c r="F40">
        <v>6955</v>
      </c>
      <c r="G40" s="1" t="s">
        <v>27</v>
      </c>
      <c r="I40">
        <v>0</v>
      </c>
      <c r="J40">
        <v>70</v>
      </c>
      <c r="K40">
        <v>6955</v>
      </c>
      <c r="L40">
        <v>22</v>
      </c>
      <c r="M40" s="1" t="s">
        <v>66</v>
      </c>
      <c r="N40">
        <v>403</v>
      </c>
      <c r="O40">
        <v>4198</v>
      </c>
      <c r="P40">
        <v>2478</v>
      </c>
      <c r="Q40">
        <v>70</v>
      </c>
      <c r="R40">
        <v>1</v>
      </c>
      <c r="S40">
        <v>5349.1413689999999</v>
      </c>
      <c r="T40" s="1" t="s">
        <v>29</v>
      </c>
      <c r="U40">
        <v>4.7314883759999997</v>
      </c>
      <c r="V40" s="1" t="s">
        <v>30</v>
      </c>
      <c r="W40">
        <v>5.7934123619999998</v>
      </c>
      <c r="X40">
        <v>20</v>
      </c>
      <c r="Y40">
        <v>56</v>
      </c>
      <c r="Z40">
        <v>1</v>
      </c>
      <c r="AA40">
        <v>6955</v>
      </c>
    </row>
    <row r="41" spans="1:27" x14ac:dyDescent="0.3">
      <c r="A41">
        <v>0.11110519799999999</v>
      </c>
      <c r="B41">
        <v>2.5606299212598427</v>
      </c>
      <c r="C41">
        <v>18.176469802856445</v>
      </c>
      <c r="D41">
        <v>1632</v>
      </c>
      <c r="E41">
        <v>33</v>
      </c>
      <c r="F41">
        <v>4812</v>
      </c>
      <c r="G41" s="1" t="s">
        <v>27</v>
      </c>
      <c r="I41">
        <v>0</v>
      </c>
      <c r="J41">
        <v>46</v>
      </c>
      <c r="K41">
        <v>4812</v>
      </c>
      <c r="L41">
        <v>13</v>
      </c>
      <c r="M41" s="1" t="s">
        <v>67</v>
      </c>
      <c r="N41">
        <v>126</v>
      </c>
      <c r="O41">
        <v>1626</v>
      </c>
      <c r="P41">
        <v>679</v>
      </c>
      <c r="Q41">
        <v>46</v>
      </c>
      <c r="R41">
        <v>1</v>
      </c>
      <c r="S41">
        <v>246.19579100000001</v>
      </c>
      <c r="T41" s="1" t="s">
        <v>29</v>
      </c>
      <c r="U41">
        <v>0.121390252</v>
      </c>
      <c r="V41" s="1" t="s">
        <v>30</v>
      </c>
      <c r="W41">
        <v>0.23249452700000001</v>
      </c>
      <c r="X41">
        <v>17</v>
      </c>
      <c r="Y41">
        <v>32</v>
      </c>
      <c r="Z41">
        <v>1</v>
      </c>
      <c r="AA41">
        <v>4812</v>
      </c>
    </row>
    <row r="42" spans="1:27" x14ac:dyDescent="0.3">
      <c r="A42">
        <v>10.246642430000009</v>
      </c>
      <c r="B42">
        <v>9.5423171733771568</v>
      </c>
      <c r="C42">
        <v>20.482759475708008</v>
      </c>
      <c r="D42">
        <v>6144</v>
      </c>
      <c r="E42">
        <v>33</v>
      </c>
      <c r="G42" s="1" t="s">
        <v>27</v>
      </c>
      <c r="I42">
        <v>0</v>
      </c>
      <c r="J42">
        <v>64</v>
      </c>
      <c r="K42">
        <v>11310</v>
      </c>
      <c r="L42">
        <v>107</v>
      </c>
      <c r="M42" s="1" t="s">
        <v>68</v>
      </c>
      <c r="N42">
        <v>2159</v>
      </c>
      <c r="O42">
        <v>11613</v>
      </c>
      <c r="P42">
        <v>6009</v>
      </c>
      <c r="Q42">
        <v>64</v>
      </c>
      <c r="R42">
        <v>1</v>
      </c>
      <c r="S42">
        <v>120635.809989</v>
      </c>
      <c r="T42" s="1" t="s">
        <v>29</v>
      </c>
      <c r="U42">
        <v>110.38916894499999</v>
      </c>
      <c r="V42" s="1" t="s">
        <v>69</v>
      </c>
      <c r="W42">
        <v>120.63580998899999</v>
      </c>
      <c r="X42">
        <v>29</v>
      </c>
      <c r="Y42">
        <v>62</v>
      </c>
      <c r="Z42">
        <v>0</v>
      </c>
      <c r="AA42">
        <v>22619</v>
      </c>
    </row>
    <row r="43" spans="1:27" x14ac:dyDescent="0.3">
      <c r="A43">
        <v>23.435665933999999</v>
      </c>
      <c r="B43">
        <v>8.4268488745980701</v>
      </c>
      <c r="C43">
        <v>21.714284896850586</v>
      </c>
      <c r="D43">
        <v>6393</v>
      </c>
      <c r="E43">
        <v>33</v>
      </c>
      <c r="G43" s="1" t="s">
        <v>27</v>
      </c>
      <c r="I43">
        <v>0</v>
      </c>
      <c r="J43">
        <v>46</v>
      </c>
      <c r="K43">
        <v>0</v>
      </c>
      <c r="L43">
        <v>85</v>
      </c>
      <c r="M43" s="1" t="s">
        <v>70</v>
      </c>
      <c r="N43">
        <v>1738</v>
      </c>
      <c r="O43">
        <v>10483</v>
      </c>
      <c r="P43">
        <v>5332</v>
      </c>
      <c r="Q43">
        <v>46</v>
      </c>
      <c r="R43">
        <v>1</v>
      </c>
      <c r="S43">
        <v>120394.349147</v>
      </c>
      <c r="T43" s="1" t="s">
        <v>29</v>
      </c>
      <c r="U43">
        <v>96.958684277000003</v>
      </c>
      <c r="V43" s="1" t="s">
        <v>69</v>
      </c>
      <c r="W43">
        <v>120.394349147</v>
      </c>
      <c r="X43">
        <v>28</v>
      </c>
      <c r="Y43">
        <v>45</v>
      </c>
      <c r="Z43">
        <v>0</v>
      </c>
      <c r="AA43">
        <v>29503</v>
      </c>
    </row>
    <row r="44" spans="1:27" x14ac:dyDescent="0.3">
      <c r="A44">
        <v>3.9063213999999999E-2</v>
      </c>
      <c r="B44">
        <v>1.8644859813084111</v>
      </c>
      <c r="C44">
        <v>17.333333969116211</v>
      </c>
      <c r="D44">
        <v>2022</v>
      </c>
      <c r="E44">
        <v>25</v>
      </c>
      <c r="F44">
        <v>1507</v>
      </c>
      <c r="G44" s="1" t="s">
        <v>27</v>
      </c>
      <c r="I44">
        <v>0</v>
      </c>
      <c r="J44">
        <v>36</v>
      </c>
      <c r="K44">
        <v>1507</v>
      </c>
      <c r="L44">
        <v>6</v>
      </c>
      <c r="M44" s="1" t="s">
        <v>71</v>
      </c>
      <c r="N44">
        <v>51</v>
      </c>
      <c r="O44">
        <v>1197</v>
      </c>
      <c r="P44">
        <v>393</v>
      </c>
      <c r="Q44">
        <v>36</v>
      </c>
      <c r="R44">
        <v>1</v>
      </c>
      <c r="S44">
        <v>47.398986000000001</v>
      </c>
      <c r="T44" s="1" t="s">
        <v>29</v>
      </c>
      <c r="U44">
        <v>7.0848660000000004E-3</v>
      </c>
      <c r="V44" s="1" t="s">
        <v>30</v>
      </c>
      <c r="W44">
        <v>4.6147357E-2</v>
      </c>
      <c r="X44">
        <v>18</v>
      </c>
      <c r="Y44">
        <v>12</v>
      </c>
      <c r="Z44">
        <v>13</v>
      </c>
      <c r="AA44">
        <v>1507</v>
      </c>
    </row>
    <row r="45" spans="1:27" x14ac:dyDescent="0.3">
      <c r="A45">
        <v>1.5555030999999999E-2</v>
      </c>
      <c r="B45">
        <v>1.6363636363636365</v>
      </c>
      <c r="C45">
        <v>12.857142448425293</v>
      </c>
      <c r="D45">
        <v>126</v>
      </c>
      <c r="E45">
        <v>25</v>
      </c>
      <c r="F45">
        <v>6912</v>
      </c>
      <c r="G45" s="1" t="s">
        <v>27</v>
      </c>
      <c r="I45">
        <v>1</v>
      </c>
      <c r="J45">
        <v>48</v>
      </c>
      <c r="K45">
        <v>6912</v>
      </c>
      <c r="L45">
        <v>3</v>
      </c>
      <c r="M45" s="1" t="s">
        <v>72</v>
      </c>
      <c r="N45">
        <v>6</v>
      </c>
      <c r="O45">
        <v>306</v>
      </c>
      <c r="P45">
        <v>95</v>
      </c>
      <c r="Q45">
        <v>48</v>
      </c>
      <c r="R45">
        <v>1</v>
      </c>
      <c r="S45">
        <v>21.352927999999999</v>
      </c>
      <c r="T45" s="1" t="s">
        <v>29</v>
      </c>
      <c r="U45">
        <v>5.5388290000000003E-3</v>
      </c>
      <c r="V45" s="1" t="s">
        <v>30</v>
      </c>
      <c r="W45">
        <v>2.1093178000000001E-2</v>
      </c>
      <c r="X45">
        <v>7</v>
      </c>
      <c r="Y45">
        <v>2</v>
      </c>
      <c r="Z45">
        <v>33</v>
      </c>
      <c r="AA45">
        <v>6912</v>
      </c>
    </row>
    <row r="46" spans="1:27" x14ac:dyDescent="0.3">
      <c r="A46">
        <v>0.974113385</v>
      </c>
      <c r="B46">
        <v>2.0955974842767295</v>
      </c>
      <c r="C46">
        <v>15.399999618530273</v>
      </c>
      <c r="D46">
        <v>3202</v>
      </c>
      <c r="E46">
        <v>25</v>
      </c>
      <c r="F46">
        <v>69208</v>
      </c>
      <c r="G46" s="1" t="s">
        <v>27</v>
      </c>
      <c r="I46">
        <v>2</v>
      </c>
      <c r="J46">
        <v>32</v>
      </c>
      <c r="K46">
        <v>69208</v>
      </c>
      <c r="L46">
        <v>9</v>
      </c>
      <c r="M46" s="1" t="s">
        <v>73</v>
      </c>
      <c r="N46">
        <v>103</v>
      </c>
      <c r="O46">
        <v>1666</v>
      </c>
      <c r="P46">
        <v>553</v>
      </c>
      <c r="Q46">
        <v>32</v>
      </c>
      <c r="R46">
        <v>1</v>
      </c>
      <c r="S46">
        <v>1091.2912980000001</v>
      </c>
      <c r="T46" s="1" t="s">
        <v>29</v>
      </c>
      <c r="U46">
        <v>0.477639488</v>
      </c>
      <c r="V46" s="1" t="s">
        <v>30</v>
      </c>
      <c r="W46">
        <v>1.451751295</v>
      </c>
      <c r="X46">
        <v>25</v>
      </c>
      <c r="Y46">
        <v>15</v>
      </c>
      <c r="Z46">
        <v>0</v>
      </c>
      <c r="AA46">
        <v>69208</v>
      </c>
    </row>
    <row r="47" spans="1:27" x14ac:dyDescent="0.3">
      <c r="A47">
        <v>0.22422378799999998</v>
      </c>
      <c r="B47">
        <v>2.049145299145299</v>
      </c>
      <c r="C47">
        <v>16.214284896850586</v>
      </c>
      <c r="D47">
        <v>970</v>
      </c>
      <c r="E47">
        <v>25</v>
      </c>
      <c r="F47">
        <v>19676</v>
      </c>
      <c r="G47" s="1" t="s">
        <v>27</v>
      </c>
      <c r="I47">
        <v>3</v>
      </c>
      <c r="J47">
        <v>28</v>
      </c>
      <c r="K47">
        <v>19676</v>
      </c>
      <c r="L47">
        <v>10</v>
      </c>
      <c r="M47" s="1" t="s">
        <v>74</v>
      </c>
      <c r="N47">
        <v>88</v>
      </c>
      <c r="O47">
        <v>959</v>
      </c>
      <c r="P47">
        <v>279</v>
      </c>
      <c r="Q47">
        <v>28</v>
      </c>
      <c r="R47">
        <v>1</v>
      </c>
      <c r="S47">
        <v>362.83392900000001</v>
      </c>
      <c r="T47" s="1" t="s">
        <v>29</v>
      </c>
      <c r="U47">
        <v>0.116633865</v>
      </c>
      <c r="V47" s="1" t="s">
        <v>30</v>
      </c>
      <c r="W47">
        <v>0.34085679899999999</v>
      </c>
      <c r="X47">
        <v>14</v>
      </c>
      <c r="Y47">
        <v>13</v>
      </c>
      <c r="Z47">
        <v>0</v>
      </c>
      <c r="AA47">
        <v>19676</v>
      </c>
    </row>
    <row r="48" spans="1:27" x14ac:dyDescent="0.3">
      <c r="A48">
        <v>1.9168629E-2</v>
      </c>
      <c r="B48">
        <v>2.0522875816993462</v>
      </c>
      <c r="C48">
        <v>14.800000190734863</v>
      </c>
      <c r="D48">
        <v>87</v>
      </c>
      <c r="E48">
        <v>25</v>
      </c>
      <c r="F48">
        <v>5004</v>
      </c>
      <c r="G48" s="1" t="s">
        <v>27</v>
      </c>
      <c r="I48">
        <v>0</v>
      </c>
      <c r="J48">
        <v>38</v>
      </c>
      <c r="K48">
        <v>5004</v>
      </c>
      <c r="L48">
        <v>6</v>
      </c>
      <c r="M48" s="1" t="s">
        <v>75</v>
      </c>
      <c r="N48">
        <v>22</v>
      </c>
      <c r="O48">
        <v>314</v>
      </c>
      <c r="P48">
        <v>109</v>
      </c>
      <c r="Q48">
        <v>38</v>
      </c>
      <c r="R48">
        <v>1</v>
      </c>
      <c r="S48">
        <v>25.27872</v>
      </c>
      <c r="T48" s="1" t="s">
        <v>29</v>
      </c>
      <c r="U48">
        <v>5.1729050000000002E-3</v>
      </c>
      <c r="V48" s="1" t="s">
        <v>30</v>
      </c>
      <c r="W48">
        <v>2.4340495E-2</v>
      </c>
      <c r="X48">
        <v>5</v>
      </c>
      <c r="Y48">
        <v>13</v>
      </c>
      <c r="Z48">
        <v>12</v>
      </c>
      <c r="AA48">
        <v>5004</v>
      </c>
    </row>
    <row r="49" spans="1:27" x14ac:dyDescent="0.3">
      <c r="A49">
        <v>2.1877487000000001E-2</v>
      </c>
      <c r="B49">
        <v>3.3583815028901736</v>
      </c>
      <c r="C49">
        <v>16.799999237060547</v>
      </c>
      <c r="D49">
        <v>136</v>
      </c>
      <c r="E49">
        <v>20</v>
      </c>
      <c r="F49">
        <v>596</v>
      </c>
      <c r="G49" s="1" t="s">
        <v>27</v>
      </c>
      <c r="I49">
        <v>0</v>
      </c>
      <c r="J49">
        <v>65</v>
      </c>
      <c r="K49">
        <v>596</v>
      </c>
      <c r="L49">
        <v>13</v>
      </c>
      <c r="M49" s="1" t="s">
        <v>76</v>
      </c>
      <c r="N49">
        <v>53</v>
      </c>
      <c r="O49">
        <v>581</v>
      </c>
      <c r="P49">
        <v>286</v>
      </c>
      <c r="Q49">
        <v>65</v>
      </c>
      <c r="R49">
        <v>1</v>
      </c>
      <c r="S49">
        <v>34.538500999999997</v>
      </c>
      <c r="T49" s="1" t="s">
        <v>29</v>
      </c>
      <c r="U49">
        <v>1.1382082999999999E-2</v>
      </c>
      <c r="V49" s="1" t="s">
        <v>30</v>
      </c>
      <c r="W49">
        <v>3.3258553000000003E-2</v>
      </c>
      <c r="X49">
        <v>5</v>
      </c>
      <c r="Y49">
        <v>26</v>
      </c>
      <c r="Z49">
        <v>29</v>
      </c>
      <c r="AA49">
        <v>596</v>
      </c>
    </row>
    <row r="50" spans="1:27" x14ac:dyDescent="0.3">
      <c r="A50">
        <v>2.8430744909999999</v>
      </c>
      <c r="B50">
        <v>2.2811550151975686</v>
      </c>
      <c r="C50">
        <v>15.949999809265137</v>
      </c>
      <c r="D50">
        <v>2246</v>
      </c>
      <c r="E50">
        <v>25</v>
      </c>
      <c r="F50">
        <v>61031</v>
      </c>
      <c r="G50" s="1" t="s">
        <v>27</v>
      </c>
      <c r="I50">
        <v>0</v>
      </c>
      <c r="J50">
        <v>34</v>
      </c>
      <c r="K50">
        <v>61031</v>
      </c>
      <c r="L50">
        <v>14</v>
      </c>
      <c r="M50" s="1" t="s">
        <v>77</v>
      </c>
      <c r="N50">
        <v>115</v>
      </c>
      <c r="O50">
        <v>1501</v>
      </c>
      <c r="P50">
        <v>525</v>
      </c>
      <c r="Q50">
        <v>34</v>
      </c>
      <c r="R50">
        <v>1</v>
      </c>
      <c r="S50">
        <v>3133.1115410000002</v>
      </c>
      <c r="T50" s="1" t="s">
        <v>29</v>
      </c>
      <c r="U50">
        <v>0.58449776399999998</v>
      </c>
      <c r="V50" s="1" t="s">
        <v>30</v>
      </c>
      <c r="W50">
        <v>3.427571248</v>
      </c>
      <c r="X50">
        <v>20</v>
      </c>
      <c r="Y50">
        <v>18</v>
      </c>
      <c r="Z50">
        <v>0</v>
      </c>
      <c r="AA50">
        <v>61031</v>
      </c>
    </row>
    <row r="51" spans="1:27" x14ac:dyDescent="0.3">
      <c r="A51">
        <v>8.6659123000000005E-2</v>
      </c>
      <c r="B51">
        <v>5.5355191256830603</v>
      </c>
      <c r="C51">
        <v>17.799999237060547</v>
      </c>
      <c r="D51">
        <v>136</v>
      </c>
      <c r="E51">
        <v>25</v>
      </c>
      <c r="F51">
        <v>2370</v>
      </c>
      <c r="G51" s="1" t="s">
        <v>27</v>
      </c>
      <c r="I51">
        <v>0</v>
      </c>
      <c r="J51">
        <v>140</v>
      </c>
      <c r="K51">
        <v>2370</v>
      </c>
      <c r="L51">
        <v>16</v>
      </c>
      <c r="M51" s="1" t="s">
        <v>78</v>
      </c>
      <c r="N51">
        <v>72</v>
      </c>
      <c r="O51">
        <v>1013</v>
      </c>
      <c r="P51">
        <v>690</v>
      </c>
      <c r="Q51">
        <v>140</v>
      </c>
      <c r="R51">
        <v>3</v>
      </c>
      <c r="S51">
        <v>372.787353</v>
      </c>
      <c r="T51" s="1" t="s">
        <v>29</v>
      </c>
      <c r="U51">
        <v>0.27627721599999999</v>
      </c>
      <c r="V51" s="1" t="s">
        <v>30</v>
      </c>
      <c r="W51">
        <v>0.362935495</v>
      </c>
      <c r="X51">
        <v>5</v>
      </c>
      <c r="Y51">
        <v>37</v>
      </c>
      <c r="Z51">
        <v>90</v>
      </c>
      <c r="AA51">
        <v>2370</v>
      </c>
    </row>
    <row r="52" spans="1:27" x14ac:dyDescent="0.3">
      <c r="A52">
        <v>1.9294153000000001E-2</v>
      </c>
      <c r="B52">
        <v>1.7834394904458599</v>
      </c>
      <c r="C52">
        <v>15.199999809265137</v>
      </c>
      <c r="D52">
        <v>93</v>
      </c>
      <c r="E52">
        <v>25</v>
      </c>
      <c r="F52">
        <v>209</v>
      </c>
      <c r="G52" s="1" t="s">
        <v>27</v>
      </c>
      <c r="I52">
        <v>0</v>
      </c>
      <c r="J52">
        <v>45</v>
      </c>
      <c r="K52">
        <v>209</v>
      </c>
      <c r="L52">
        <v>4</v>
      </c>
      <c r="M52" s="1" t="s">
        <v>79</v>
      </c>
      <c r="N52">
        <v>6</v>
      </c>
      <c r="O52">
        <v>280</v>
      </c>
      <c r="P52">
        <v>103</v>
      </c>
      <c r="Q52">
        <v>45</v>
      </c>
      <c r="R52">
        <v>1</v>
      </c>
      <c r="S52">
        <v>26.947997999999998</v>
      </c>
      <c r="T52" s="1" t="s">
        <v>29</v>
      </c>
      <c r="U52">
        <v>6.5484159999999996E-3</v>
      </c>
      <c r="V52" s="1" t="s">
        <v>30</v>
      </c>
      <c r="W52">
        <v>2.5841744999999999E-2</v>
      </c>
      <c r="X52">
        <v>5</v>
      </c>
      <c r="Y52">
        <v>2</v>
      </c>
      <c r="Z52">
        <v>35</v>
      </c>
      <c r="AA52">
        <v>209</v>
      </c>
    </row>
    <row r="53" spans="1:27" x14ac:dyDescent="0.3">
      <c r="A53">
        <v>1.3420157329999998</v>
      </c>
      <c r="B53">
        <v>2.2222222222222223</v>
      </c>
      <c r="C53">
        <v>15.25</v>
      </c>
      <c r="D53">
        <v>2865</v>
      </c>
      <c r="E53">
        <v>25</v>
      </c>
      <c r="F53">
        <v>56761</v>
      </c>
      <c r="G53" s="1" t="s">
        <v>27</v>
      </c>
      <c r="I53">
        <v>0</v>
      </c>
      <c r="J53">
        <v>32</v>
      </c>
      <c r="K53">
        <v>56761</v>
      </c>
      <c r="L53">
        <v>9</v>
      </c>
      <c r="M53" s="1" t="s">
        <v>80</v>
      </c>
      <c r="N53">
        <v>115</v>
      </c>
      <c r="O53">
        <v>1680</v>
      </c>
      <c r="P53">
        <v>606</v>
      </c>
      <c r="Q53">
        <v>32</v>
      </c>
      <c r="R53">
        <v>1</v>
      </c>
      <c r="S53">
        <v>2352.002868</v>
      </c>
      <c r="T53" s="1" t="s">
        <v>29</v>
      </c>
      <c r="U53">
        <v>0.85918380800000005</v>
      </c>
      <c r="V53" s="1" t="s">
        <v>30</v>
      </c>
      <c r="W53">
        <v>2.2011987149999999</v>
      </c>
      <c r="X53">
        <v>24</v>
      </c>
      <c r="Y53">
        <v>16</v>
      </c>
      <c r="Z53">
        <v>0</v>
      </c>
      <c r="AA53">
        <v>56761</v>
      </c>
    </row>
    <row r="54" spans="1:27" x14ac:dyDescent="0.3">
      <c r="A54">
        <v>2.8489036000000002E-2</v>
      </c>
      <c r="B54">
        <v>2.3525179856115108</v>
      </c>
      <c r="C54">
        <v>13.399999618530273</v>
      </c>
      <c r="D54">
        <v>72</v>
      </c>
      <c r="E54">
        <v>25</v>
      </c>
      <c r="F54">
        <v>1906</v>
      </c>
      <c r="G54" s="1" t="s">
        <v>27</v>
      </c>
      <c r="I54">
        <v>0</v>
      </c>
      <c r="J54">
        <v>47</v>
      </c>
      <c r="K54">
        <v>1906</v>
      </c>
      <c r="L54">
        <v>6</v>
      </c>
      <c r="M54" s="1" t="s">
        <v>81</v>
      </c>
      <c r="N54">
        <v>14</v>
      </c>
      <c r="O54">
        <v>327</v>
      </c>
      <c r="P54">
        <v>146</v>
      </c>
      <c r="Q54">
        <v>47</v>
      </c>
      <c r="R54">
        <v>1</v>
      </c>
      <c r="S54">
        <v>39.237493000000001</v>
      </c>
      <c r="T54" s="1" t="s">
        <v>29</v>
      </c>
      <c r="U54">
        <v>9.0132119999999996E-3</v>
      </c>
      <c r="V54" s="1" t="s">
        <v>30</v>
      </c>
      <c r="W54">
        <v>3.7501591000000001E-2</v>
      </c>
      <c r="X54">
        <v>5</v>
      </c>
      <c r="Y54">
        <v>7</v>
      </c>
      <c r="Z54">
        <v>29</v>
      </c>
      <c r="AA54">
        <v>1906</v>
      </c>
    </row>
    <row r="55" spans="1:27" x14ac:dyDescent="0.3">
      <c r="A55">
        <v>1.7663587000000001E-2</v>
      </c>
      <c r="B55">
        <v>2.6192893401015227</v>
      </c>
      <c r="C55">
        <v>13.571428298950195</v>
      </c>
      <c r="D55">
        <v>150</v>
      </c>
      <c r="E55">
        <v>25</v>
      </c>
      <c r="F55">
        <v>8874</v>
      </c>
      <c r="G55" s="1" t="s">
        <v>27</v>
      </c>
      <c r="I55">
        <v>0</v>
      </c>
      <c r="J55">
        <v>32</v>
      </c>
      <c r="K55">
        <v>8874</v>
      </c>
      <c r="L55">
        <v>10</v>
      </c>
      <c r="M55" s="1" t="s">
        <v>82</v>
      </c>
      <c r="N55">
        <v>54</v>
      </c>
      <c r="O55">
        <v>516</v>
      </c>
      <c r="P55">
        <v>177</v>
      </c>
      <c r="Q55">
        <v>32</v>
      </c>
      <c r="R55">
        <v>1</v>
      </c>
      <c r="S55">
        <v>22.322225</v>
      </c>
      <c r="T55" s="1" t="s">
        <v>29</v>
      </c>
      <c r="U55">
        <v>3.9272109999999999E-3</v>
      </c>
      <c r="V55" s="1" t="s">
        <v>30</v>
      </c>
      <c r="W55">
        <v>2.1590135999999999E-2</v>
      </c>
      <c r="X55">
        <v>7</v>
      </c>
      <c r="Y55">
        <v>16</v>
      </c>
      <c r="Z55">
        <v>2</v>
      </c>
      <c r="AA55">
        <v>8874</v>
      </c>
    </row>
    <row r="56" spans="1:27" x14ac:dyDescent="0.3">
      <c r="A56">
        <v>1.9170430999999998E-2</v>
      </c>
      <c r="B56">
        <v>1.6363636363636365</v>
      </c>
      <c r="C56">
        <v>12.857142448425293</v>
      </c>
      <c r="D56">
        <v>126</v>
      </c>
      <c r="E56">
        <v>25</v>
      </c>
      <c r="F56">
        <v>6912</v>
      </c>
      <c r="G56" s="1" t="s">
        <v>27</v>
      </c>
      <c r="I56">
        <v>0</v>
      </c>
      <c r="J56">
        <v>48</v>
      </c>
      <c r="K56">
        <v>6912</v>
      </c>
      <c r="L56">
        <v>3</v>
      </c>
      <c r="M56" s="1" t="s">
        <v>72</v>
      </c>
      <c r="N56">
        <v>6</v>
      </c>
      <c r="O56">
        <v>306</v>
      </c>
      <c r="P56">
        <v>95</v>
      </c>
      <c r="Q56">
        <v>48</v>
      </c>
      <c r="R56">
        <v>1</v>
      </c>
      <c r="S56">
        <v>26.004928</v>
      </c>
      <c r="T56" s="1" t="s">
        <v>29</v>
      </c>
      <c r="U56">
        <v>5.9892900000000004E-3</v>
      </c>
      <c r="V56" s="1" t="s">
        <v>30</v>
      </c>
      <c r="W56">
        <v>2.5158943E-2</v>
      </c>
      <c r="X56">
        <v>7</v>
      </c>
      <c r="Y56">
        <v>2</v>
      </c>
      <c r="Z56">
        <v>33</v>
      </c>
      <c r="AA56">
        <v>6912</v>
      </c>
    </row>
    <row r="57" spans="1:27" x14ac:dyDescent="0.3">
      <c r="A57">
        <v>1.0937797710000001</v>
      </c>
      <c r="B57">
        <v>2.1283018867924528</v>
      </c>
      <c r="C57">
        <v>15.399999618530273</v>
      </c>
      <c r="D57">
        <v>3202</v>
      </c>
      <c r="E57">
        <v>25</v>
      </c>
      <c r="F57">
        <v>69208</v>
      </c>
      <c r="G57" s="1" t="s">
        <v>27</v>
      </c>
      <c r="I57">
        <v>0</v>
      </c>
      <c r="J57">
        <v>32</v>
      </c>
      <c r="K57">
        <v>69208</v>
      </c>
      <c r="L57">
        <v>10</v>
      </c>
      <c r="M57" s="1" t="s">
        <v>73</v>
      </c>
      <c r="N57">
        <v>113</v>
      </c>
      <c r="O57">
        <v>1692</v>
      </c>
      <c r="P57">
        <v>553</v>
      </c>
      <c r="Q57">
        <v>32</v>
      </c>
      <c r="R57">
        <v>1</v>
      </c>
      <c r="S57">
        <v>1149.6366210000001</v>
      </c>
      <c r="T57" s="1" t="s">
        <v>29</v>
      </c>
      <c r="U57">
        <v>0.40844827700000003</v>
      </c>
      <c r="V57" s="1" t="s">
        <v>30</v>
      </c>
      <c r="W57">
        <v>1.502225025</v>
      </c>
      <c r="X57">
        <v>25</v>
      </c>
      <c r="Y57">
        <v>15</v>
      </c>
      <c r="Z57">
        <v>0</v>
      </c>
      <c r="AA57">
        <v>69208</v>
      </c>
    </row>
    <row r="58" spans="1:27" x14ac:dyDescent="0.3">
      <c r="A58">
        <v>0.18860298</v>
      </c>
      <c r="B58">
        <v>1.9102564102564104</v>
      </c>
      <c r="C58">
        <v>16.214284896850586</v>
      </c>
      <c r="D58">
        <v>970</v>
      </c>
      <c r="E58">
        <v>25</v>
      </c>
      <c r="F58">
        <v>19676</v>
      </c>
      <c r="G58" s="1" t="s">
        <v>27</v>
      </c>
      <c r="I58">
        <v>0</v>
      </c>
      <c r="J58">
        <v>26</v>
      </c>
      <c r="K58">
        <v>19676</v>
      </c>
      <c r="L58">
        <v>14</v>
      </c>
      <c r="M58" s="1" t="s">
        <v>74</v>
      </c>
      <c r="N58">
        <v>67</v>
      </c>
      <c r="O58">
        <v>894</v>
      </c>
      <c r="P58">
        <v>230</v>
      </c>
      <c r="Q58">
        <v>26</v>
      </c>
      <c r="R58">
        <v>1</v>
      </c>
      <c r="S58">
        <v>238.332266</v>
      </c>
      <c r="T58" s="1" t="s">
        <v>29</v>
      </c>
      <c r="U58">
        <v>3.1765828000000003E-2</v>
      </c>
      <c r="V58" s="1" t="s">
        <v>30</v>
      </c>
      <c r="W58">
        <v>0.220367112</v>
      </c>
      <c r="X58">
        <v>14</v>
      </c>
      <c r="Y58">
        <v>11</v>
      </c>
      <c r="Z58">
        <v>0</v>
      </c>
      <c r="AA58">
        <v>19676</v>
      </c>
    </row>
    <row r="59" spans="1:27" x14ac:dyDescent="0.3">
      <c r="G59" s="1" t="s">
        <v>54</v>
      </c>
      <c r="H59">
        <v>137</v>
      </c>
      <c r="M59" s="1" t="s">
        <v>83</v>
      </c>
      <c r="T59" s="1" t="s">
        <v>56</v>
      </c>
      <c r="V59" s="1" t="s">
        <v>84</v>
      </c>
    </row>
    <row r="60" spans="1:27" x14ac:dyDescent="0.3">
      <c r="A60">
        <v>2.0897152729999959</v>
      </c>
      <c r="B60">
        <v>5.752820512820513</v>
      </c>
      <c r="C60">
        <v>19</v>
      </c>
      <c r="D60">
        <v>3735</v>
      </c>
      <c r="E60">
        <v>33</v>
      </c>
      <c r="G60" s="1" t="s">
        <v>27</v>
      </c>
      <c r="I60">
        <v>0</v>
      </c>
      <c r="J60">
        <v>51</v>
      </c>
      <c r="K60">
        <v>8728</v>
      </c>
      <c r="L60">
        <v>31</v>
      </c>
      <c r="M60" s="1" t="s">
        <v>85</v>
      </c>
      <c r="N60">
        <v>687</v>
      </c>
      <c r="O60">
        <v>5609</v>
      </c>
      <c r="P60">
        <v>3121</v>
      </c>
      <c r="Q60">
        <v>51</v>
      </c>
      <c r="R60">
        <v>1</v>
      </c>
      <c r="S60">
        <v>121816.718371</v>
      </c>
      <c r="T60" s="1" t="s">
        <v>29</v>
      </c>
      <c r="U60">
        <v>119.72703252300001</v>
      </c>
      <c r="V60" s="1" t="s">
        <v>69</v>
      </c>
      <c r="W60">
        <v>121.81671837099999</v>
      </c>
      <c r="X60">
        <v>25</v>
      </c>
      <c r="Y60">
        <v>47</v>
      </c>
      <c r="Z60">
        <v>0</v>
      </c>
      <c r="AA60">
        <v>9974</v>
      </c>
    </row>
    <row r="61" spans="1:27" x14ac:dyDescent="0.3">
      <c r="A61">
        <v>0.12195268100000006</v>
      </c>
      <c r="B61">
        <v>3.3060109289617485</v>
      </c>
      <c r="C61">
        <v>22.375</v>
      </c>
      <c r="D61">
        <v>2061</v>
      </c>
      <c r="E61">
        <v>33</v>
      </c>
      <c r="F61">
        <v>3730</v>
      </c>
      <c r="G61" s="1" t="s">
        <v>27</v>
      </c>
      <c r="I61">
        <v>0</v>
      </c>
      <c r="J61">
        <v>65</v>
      </c>
      <c r="K61">
        <v>3730</v>
      </c>
      <c r="L61">
        <v>13</v>
      </c>
      <c r="M61" s="1" t="s">
        <v>86</v>
      </c>
      <c r="N61">
        <v>145</v>
      </c>
      <c r="O61">
        <v>2420</v>
      </c>
      <c r="P61">
        <v>1318</v>
      </c>
      <c r="Q61">
        <v>65</v>
      </c>
      <c r="R61">
        <v>1</v>
      </c>
      <c r="S61">
        <v>609.057413</v>
      </c>
      <c r="T61" s="1" t="s">
        <v>29</v>
      </c>
      <c r="U61">
        <v>0.47323765899999998</v>
      </c>
      <c r="V61" s="1" t="s">
        <v>30</v>
      </c>
      <c r="W61">
        <v>0.59518929399999998</v>
      </c>
      <c r="X61">
        <v>16</v>
      </c>
      <c r="Y61">
        <v>47</v>
      </c>
      <c r="Z61">
        <v>6</v>
      </c>
      <c r="AA61">
        <v>3730</v>
      </c>
    </row>
    <row r="62" spans="1:27" x14ac:dyDescent="0.3">
      <c r="A62">
        <v>7.5574429999999998E-2</v>
      </c>
      <c r="B62">
        <v>3.3242753623188408</v>
      </c>
      <c r="C62">
        <v>19.214284896850586</v>
      </c>
      <c r="D62">
        <v>1175</v>
      </c>
      <c r="E62">
        <v>33</v>
      </c>
      <c r="F62">
        <v>3516</v>
      </c>
      <c r="G62" s="1" t="s">
        <v>27</v>
      </c>
      <c r="I62">
        <v>0</v>
      </c>
      <c r="J62">
        <v>72</v>
      </c>
      <c r="K62">
        <v>3516</v>
      </c>
      <c r="L62">
        <v>16</v>
      </c>
      <c r="M62" s="1" t="s">
        <v>87</v>
      </c>
      <c r="N62">
        <v>123</v>
      </c>
      <c r="O62">
        <v>1835</v>
      </c>
      <c r="P62">
        <v>987</v>
      </c>
      <c r="Q62">
        <v>72</v>
      </c>
      <c r="R62">
        <v>1</v>
      </c>
      <c r="S62">
        <v>252.60324499999999</v>
      </c>
      <c r="T62" s="1" t="s">
        <v>29</v>
      </c>
      <c r="U62">
        <v>0.16608020600000001</v>
      </c>
      <c r="V62" s="1" t="s">
        <v>30</v>
      </c>
      <c r="W62">
        <v>0.241653596</v>
      </c>
      <c r="X62">
        <v>14</v>
      </c>
      <c r="Y62">
        <v>46</v>
      </c>
      <c r="Z62">
        <v>14</v>
      </c>
      <c r="AA62">
        <v>3516</v>
      </c>
    </row>
    <row r="63" spans="1:27" x14ac:dyDescent="0.3">
      <c r="A63">
        <v>0.11795391199999999</v>
      </c>
      <c r="B63">
        <v>3.3586497890295357</v>
      </c>
      <c r="C63">
        <v>19.25</v>
      </c>
      <c r="D63">
        <v>876</v>
      </c>
      <c r="E63">
        <v>33</v>
      </c>
      <c r="F63">
        <v>3306</v>
      </c>
      <c r="G63" s="1" t="s">
        <v>27</v>
      </c>
      <c r="I63">
        <v>0</v>
      </c>
      <c r="J63">
        <v>59</v>
      </c>
      <c r="K63">
        <v>3306</v>
      </c>
      <c r="L63">
        <v>21</v>
      </c>
      <c r="M63" s="1" t="s">
        <v>88</v>
      </c>
      <c r="N63">
        <v>152</v>
      </c>
      <c r="O63">
        <v>1592</v>
      </c>
      <c r="P63">
        <v>824</v>
      </c>
      <c r="Q63">
        <v>59</v>
      </c>
      <c r="R63">
        <v>1</v>
      </c>
      <c r="S63">
        <v>365.13484999999997</v>
      </c>
      <c r="T63" s="1" t="s">
        <v>29</v>
      </c>
      <c r="U63">
        <v>0.23292418300000001</v>
      </c>
      <c r="V63" s="1" t="s">
        <v>30</v>
      </c>
      <c r="W63">
        <v>0.35087721399999999</v>
      </c>
      <c r="X63">
        <v>12</v>
      </c>
      <c r="Y63">
        <v>44</v>
      </c>
      <c r="Z63">
        <v>3</v>
      </c>
      <c r="AA63">
        <v>3306</v>
      </c>
    </row>
    <row r="64" spans="1:27" x14ac:dyDescent="0.3">
      <c r="A64">
        <v>2.0342716E-2</v>
      </c>
      <c r="B64">
        <v>2.130718954248366</v>
      </c>
      <c r="C64">
        <v>18.625</v>
      </c>
      <c r="D64">
        <v>307</v>
      </c>
      <c r="E64">
        <v>33</v>
      </c>
      <c r="F64">
        <v>2149</v>
      </c>
      <c r="G64" s="1" t="s">
        <v>27</v>
      </c>
      <c r="I64">
        <v>0</v>
      </c>
      <c r="J64">
        <v>43</v>
      </c>
      <c r="K64">
        <v>2149</v>
      </c>
      <c r="L64">
        <v>11</v>
      </c>
      <c r="M64" s="1" t="s">
        <v>89</v>
      </c>
      <c r="N64">
        <v>35</v>
      </c>
      <c r="O64">
        <v>652</v>
      </c>
      <c r="P64">
        <v>252</v>
      </c>
      <c r="Q64">
        <v>43</v>
      </c>
      <c r="R64">
        <v>1</v>
      </c>
      <c r="S64">
        <v>27.95326</v>
      </c>
      <c r="T64" s="1" t="s">
        <v>29</v>
      </c>
      <c r="U64">
        <v>6.4781739999999997E-3</v>
      </c>
      <c r="V64" s="1" t="s">
        <v>30</v>
      </c>
      <c r="W64">
        <v>2.6820152999999999E-2</v>
      </c>
      <c r="X64">
        <v>8</v>
      </c>
      <c r="Y64">
        <v>17</v>
      </c>
      <c r="Z64">
        <v>14</v>
      </c>
      <c r="AA64">
        <v>2149</v>
      </c>
    </row>
    <row r="65" spans="1:27" x14ac:dyDescent="0.3">
      <c r="A65">
        <v>2.8335076000000001E-2</v>
      </c>
      <c r="B65">
        <v>2.5619047619047617</v>
      </c>
      <c r="C65">
        <v>12.625</v>
      </c>
      <c r="D65">
        <v>126</v>
      </c>
      <c r="E65">
        <v>33</v>
      </c>
      <c r="F65">
        <v>1762</v>
      </c>
      <c r="G65" s="1" t="s">
        <v>27</v>
      </c>
      <c r="I65">
        <v>0</v>
      </c>
      <c r="J65">
        <v>53</v>
      </c>
      <c r="K65">
        <v>1762</v>
      </c>
      <c r="L65">
        <v>7</v>
      </c>
      <c r="M65" s="1" t="s">
        <v>90</v>
      </c>
      <c r="N65">
        <v>23</v>
      </c>
      <c r="O65">
        <v>538</v>
      </c>
      <c r="P65">
        <v>265</v>
      </c>
      <c r="Q65">
        <v>53</v>
      </c>
      <c r="R65">
        <v>1</v>
      </c>
      <c r="S65">
        <v>44.732059999999997</v>
      </c>
      <c r="T65" s="1" t="s">
        <v>29</v>
      </c>
      <c r="U65">
        <v>1.448136E-2</v>
      </c>
      <c r="V65" s="1" t="s">
        <v>30</v>
      </c>
      <c r="W65">
        <v>4.2815719000000002E-2</v>
      </c>
      <c r="X65">
        <v>8</v>
      </c>
      <c r="Y65">
        <v>14</v>
      </c>
      <c r="Z65">
        <v>28</v>
      </c>
      <c r="AA65">
        <v>1762</v>
      </c>
    </row>
    <row r="66" spans="1:27" x14ac:dyDescent="0.3">
      <c r="A66">
        <v>16.451385731000002</v>
      </c>
      <c r="B66">
        <v>7.4468664850136239</v>
      </c>
      <c r="C66">
        <v>19.888889312744141</v>
      </c>
      <c r="D66">
        <v>4862</v>
      </c>
      <c r="E66">
        <v>33</v>
      </c>
      <c r="G66" s="1" t="s">
        <v>27</v>
      </c>
      <c r="I66">
        <v>0</v>
      </c>
      <c r="J66">
        <v>49</v>
      </c>
      <c r="K66">
        <v>29848</v>
      </c>
      <c r="L66">
        <v>37</v>
      </c>
      <c r="M66" s="1" t="s">
        <v>91</v>
      </c>
      <c r="N66">
        <v>1190</v>
      </c>
      <c r="O66">
        <v>8199</v>
      </c>
      <c r="P66">
        <v>4390</v>
      </c>
      <c r="Q66">
        <v>49</v>
      </c>
      <c r="R66">
        <v>1</v>
      </c>
      <c r="S66">
        <v>120283.612843</v>
      </c>
      <c r="T66" s="1" t="s">
        <v>29</v>
      </c>
      <c r="U66">
        <v>103.83222857</v>
      </c>
      <c r="V66" s="1" t="s">
        <v>69</v>
      </c>
      <c r="W66">
        <v>120.283612843</v>
      </c>
      <c r="X66">
        <v>27</v>
      </c>
      <c r="Y66">
        <v>43</v>
      </c>
      <c r="Z66">
        <v>0</v>
      </c>
      <c r="AA66">
        <v>30810</v>
      </c>
    </row>
    <row r="67" spans="1:27" x14ac:dyDescent="0.3">
      <c r="A67">
        <v>1.544073237000001</v>
      </c>
      <c r="B67">
        <v>4.214111922141119</v>
      </c>
      <c r="C67">
        <v>20.049999237060547</v>
      </c>
      <c r="D67">
        <v>2616</v>
      </c>
      <c r="E67">
        <v>33</v>
      </c>
      <c r="F67">
        <v>8176</v>
      </c>
      <c r="G67" s="1" t="s">
        <v>27</v>
      </c>
      <c r="I67">
        <v>0</v>
      </c>
      <c r="J67">
        <v>61</v>
      </c>
      <c r="K67">
        <v>8176</v>
      </c>
      <c r="L67">
        <v>21</v>
      </c>
      <c r="M67" s="1" t="s">
        <v>92</v>
      </c>
      <c r="N67">
        <v>333</v>
      </c>
      <c r="O67">
        <v>3464</v>
      </c>
      <c r="P67">
        <v>1918</v>
      </c>
      <c r="Q67">
        <v>61</v>
      </c>
      <c r="R67">
        <v>1</v>
      </c>
      <c r="S67">
        <v>1811.8740190000001</v>
      </c>
      <c r="T67" s="1" t="s">
        <v>29</v>
      </c>
      <c r="U67">
        <v>6.6660144859999999</v>
      </c>
      <c r="V67" s="1" t="s">
        <v>30</v>
      </c>
      <c r="W67">
        <v>8.2100862630000009</v>
      </c>
      <c r="X67">
        <v>20</v>
      </c>
      <c r="Y67">
        <v>48</v>
      </c>
      <c r="Z67">
        <v>0</v>
      </c>
      <c r="AA67">
        <v>8176</v>
      </c>
    </row>
    <row r="68" spans="1:27" x14ac:dyDescent="0.3">
      <c r="A68">
        <v>0.36372201600000009</v>
      </c>
      <c r="B68">
        <v>3.5937007874015747</v>
      </c>
      <c r="C68">
        <v>18.176469802856445</v>
      </c>
      <c r="D68">
        <v>1632</v>
      </c>
      <c r="E68">
        <v>33</v>
      </c>
      <c r="F68">
        <v>7272</v>
      </c>
      <c r="G68" s="1" t="s">
        <v>27</v>
      </c>
      <c r="I68">
        <v>0</v>
      </c>
      <c r="J68">
        <v>61</v>
      </c>
      <c r="K68">
        <v>7272</v>
      </c>
      <c r="L68">
        <v>21</v>
      </c>
      <c r="M68" s="1" t="s">
        <v>93</v>
      </c>
      <c r="N68">
        <v>238</v>
      </c>
      <c r="O68">
        <v>2282</v>
      </c>
      <c r="P68">
        <v>1187</v>
      </c>
      <c r="Q68">
        <v>61</v>
      </c>
      <c r="R68">
        <v>1</v>
      </c>
      <c r="S68">
        <v>1370.2722630000001</v>
      </c>
      <c r="T68" s="1" t="s">
        <v>29</v>
      </c>
      <c r="U68">
        <v>0.96192601</v>
      </c>
      <c r="V68" s="1" t="s">
        <v>30</v>
      </c>
      <c r="W68">
        <v>1.3256469399999999</v>
      </c>
      <c r="X68">
        <v>17</v>
      </c>
      <c r="Y68">
        <v>48</v>
      </c>
      <c r="Z68">
        <v>0</v>
      </c>
      <c r="AA68">
        <v>7272</v>
      </c>
    </row>
    <row r="69" spans="1:27" x14ac:dyDescent="0.3">
      <c r="A69">
        <v>30.674218004000011</v>
      </c>
      <c r="B69">
        <v>7.6729663105998354</v>
      </c>
      <c r="C69">
        <v>20.482759475708008</v>
      </c>
      <c r="D69">
        <v>6144</v>
      </c>
      <c r="E69">
        <v>33</v>
      </c>
      <c r="G69" s="1" t="s">
        <v>27</v>
      </c>
      <c r="I69">
        <v>0</v>
      </c>
      <c r="J69">
        <v>48</v>
      </c>
      <c r="K69">
        <v>17601</v>
      </c>
      <c r="L69">
        <v>76</v>
      </c>
      <c r="M69" s="1" t="s">
        <v>94</v>
      </c>
      <c r="N69">
        <v>1436</v>
      </c>
      <c r="O69">
        <v>9338</v>
      </c>
      <c r="P69">
        <v>4863</v>
      </c>
      <c r="Q69">
        <v>48</v>
      </c>
      <c r="R69">
        <v>1</v>
      </c>
      <c r="S69">
        <v>141489.494729</v>
      </c>
      <c r="T69" s="1" t="s">
        <v>29</v>
      </c>
      <c r="U69">
        <v>110.815279726</v>
      </c>
      <c r="V69" s="1" t="s">
        <v>69</v>
      </c>
      <c r="W69">
        <v>141.489494729</v>
      </c>
      <c r="X69">
        <v>29</v>
      </c>
      <c r="Y69">
        <v>45</v>
      </c>
      <c r="Z69">
        <v>0</v>
      </c>
      <c r="AA69">
        <v>23468</v>
      </c>
    </row>
    <row r="70" spans="1:27" x14ac:dyDescent="0.3">
      <c r="C70">
        <v>21.714284896850586</v>
      </c>
      <c r="D70">
        <v>6393</v>
      </c>
      <c r="E70">
        <v>33</v>
      </c>
      <c r="G70" s="1" t="s">
        <v>27</v>
      </c>
      <c r="I70">
        <v>0</v>
      </c>
      <c r="M70" s="1" t="s">
        <v>95</v>
      </c>
      <c r="T70" s="1" t="s">
        <v>29</v>
      </c>
      <c r="V70" s="1" t="s">
        <v>65</v>
      </c>
      <c r="X70">
        <v>28</v>
      </c>
    </row>
    <row r="71" spans="1:27" x14ac:dyDescent="0.3">
      <c r="G71" s="1" t="s">
        <v>54</v>
      </c>
      <c r="H71">
        <v>124</v>
      </c>
      <c r="M71" s="1" t="s">
        <v>96</v>
      </c>
      <c r="T71" s="1" t="s">
        <v>56</v>
      </c>
      <c r="V71" s="1" t="s">
        <v>57</v>
      </c>
    </row>
    <row r="72" spans="1:27" x14ac:dyDescent="0.3">
      <c r="A72">
        <v>2.1083207999999999E-2</v>
      </c>
      <c r="B72">
        <v>2.0196078431372548</v>
      </c>
      <c r="C72">
        <v>14.800000190734863</v>
      </c>
      <c r="D72">
        <v>87</v>
      </c>
      <c r="E72">
        <v>25</v>
      </c>
      <c r="F72">
        <v>4837</v>
      </c>
      <c r="G72" s="1" t="s">
        <v>27</v>
      </c>
      <c r="I72">
        <v>0</v>
      </c>
      <c r="J72">
        <v>34</v>
      </c>
      <c r="K72">
        <v>4837</v>
      </c>
      <c r="L72">
        <v>5</v>
      </c>
      <c r="M72" s="1" t="s">
        <v>97</v>
      </c>
      <c r="N72">
        <v>18</v>
      </c>
      <c r="O72">
        <v>309</v>
      </c>
      <c r="P72">
        <v>110</v>
      </c>
      <c r="Q72">
        <v>34</v>
      </c>
      <c r="R72">
        <v>1</v>
      </c>
      <c r="S72">
        <v>28.429001</v>
      </c>
      <c r="T72" s="1" t="s">
        <v>29</v>
      </c>
      <c r="U72">
        <v>6.1322210000000002E-3</v>
      </c>
      <c r="V72" s="1" t="s">
        <v>30</v>
      </c>
      <c r="W72">
        <v>2.7214341E-2</v>
      </c>
      <c r="X72">
        <v>5</v>
      </c>
      <c r="Y72">
        <v>11</v>
      </c>
      <c r="Z72">
        <v>10</v>
      </c>
      <c r="AA72">
        <v>4837</v>
      </c>
    </row>
    <row r="73" spans="1:27" x14ac:dyDescent="0.3">
      <c r="A73">
        <v>1.9936060000000002E-2</v>
      </c>
      <c r="B73">
        <v>3.4161849710982657</v>
      </c>
      <c r="C73">
        <v>16.799999237060547</v>
      </c>
      <c r="D73">
        <v>136</v>
      </c>
      <c r="E73">
        <v>20</v>
      </c>
      <c r="F73">
        <v>674</v>
      </c>
      <c r="G73" s="1" t="s">
        <v>27</v>
      </c>
      <c r="I73">
        <v>0</v>
      </c>
      <c r="J73">
        <v>45</v>
      </c>
      <c r="K73">
        <v>674</v>
      </c>
      <c r="L73">
        <v>10</v>
      </c>
      <c r="M73" s="1" t="s">
        <v>98</v>
      </c>
      <c r="N73">
        <v>52</v>
      </c>
      <c r="O73">
        <v>591</v>
      </c>
      <c r="P73">
        <v>292</v>
      </c>
      <c r="Q73">
        <v>45</v>
      </c>
      <c r="R73">
        <v>1</v>
      </c>
      <c r="S73">
        <v>27.644169999999999</v>
      </c>
      <c r="T73" s="1" t="s">
        <v>29</v>
      </c>
      <c r="U73">
        <v>6.4153049999999996E-3</v>
      </c>
      <c r="V73" s="1" t="s">
        <v>30</v>
      </c>
      <c r="W73">
        <v>2.6350637999999999E-2</v>
      </c>
      <c r="X73">
        <v>5</v>
      </c>
      <c r="Y73">
        <v>24</v>
      </c>
      <c r="Z73">
        <v>11</v>
      </c>
      <c r="AA73">
        <v>674</v>
      </c>
    </row>
    <row r="74" spans="1:27" x14ac:dyDescent="0.3">
      <c r="A74">
        <v>4.602681724</v>
      </c>
      <c r="B74">
        <v>4.2006079027355625</v>
      </c>
      <c r="C74">
        <v>15.949999809265137</v>
      </c>
      <c r="D74">
        <v>2246</v>
      </c>
      <c r="E74">
        <v>25</v>
      </c>
      <c r="F74">
        <v>62703</v>
      </c>
      <c r="G74" s="1" t="s">
        <v>27</v>
      </c>
      <c r="I74">
        <v>0</v>
      </c>
      <c r="J74">
        <v>51</v>
      </c>
      <c r="K74">
        <v>62703</v>
      </c>
      <c r="L74">
        <v>22</v>
      </c>
      <c r="M74" s="1" t="s">
        <v>99</v>
      </c>
      <c r="N74">
        <v>276</v>
      </c>
      <c r="O74">
        <v>2764</v>
      </c>
      <c r="P74">
        <v>1453</v>
      </c>
      <c r="Q74">
        <v>51</v>
      </c>
      <c r="R74">
        <v>1</v>
      </c>
      <c r="S74">
        <v>12288.517589999999</v>
      </c>
      <c r="T74" s="1" t="s">
        <v>29</v>
      </c>
      <c r="U74">
        <v>8.7433239870000001</v>
      </c>
      <c r="V74" s="1" t="s">
        <v>30</v>
      </c>
      <c r="W74">
        <v>13.346004846</v>
      </c>
      <c r="X74">
        <v>20</v>
      </c>
      <c r="Y74">
        <v>35</v>
      </c>
      <c r="Z74">
        <v>0</v>
      </c>
      <c r="AA74">
        <v>62703</v>
      </c>
    </row>
    <row r="75" spans="1:27" x14ac:dyDescent="0.3">
      <c r="A75">
        <v>5.0144913000000006E-2</v>
      </c>
      <c r="B75">
        <v>5.3715846994535523</v>
      </c>
      <c r="C75">
        <v>17.799999237060547</v>
      </c>
      <c r="D75">
        <v>136</v>
      </c>
      <c r="E75">
        <v>25</v>
      </c>
      <c r="F75">
        <v>1900</v>
      </c>
      <c r="G75" s="1" t="s">
        <v>27</v>
      </c>
      <c r="I75">
        <v>0</v>
      </c>
      <c r="J75">
        <v>64</v>
      </c>
      <c r="K75">
        <v>1900</v>
      </c>
      <c r="L75">
        <v>19</v>
      </c>
      <c r="M75" s="1" t="s">
        <v>100</v>
      </c>
      <c r="N75">
        <v>116</v>
      </c>
      <c r="O75">
        <v>983</v>
      </c>
      <c r="P75">
        <v>568</v>
      </c>
      <c r="Q75">
        <v>64</v>
      </c>
      <c r="R75">
        <v>1</v>
      </c>
      <c r="S75">
        <v>98.412226000000004</v>
      </c>
      <c r="T75" s="1" t="s">
        <v>29</v>
      </c>
      <c r="U75">
        <v>4.2499769E-2</v>
      </c>
      <c r="V75" s="1" t="s">
        <v>30</v>
      </c>
      <c r="W75">
        <v>9.2643756999999993E-2</v>
      </c>
      <c r="X75">
        <v>5</v>
      </c>
      <c r="Y75">
        <v>41</v>
      </c>
      <c r="Z75">
        <v>12</v>
      </c>
      <c r="AA75">
        <v>1900</v>
      </c>
    </row>
    <row r="76" spans="1:27" x14ac:dyDescent="0.3">
      <c r="A76">
        <v>1.9873567000000002E-2</v>
      </c>
      <c r="B76">
        <v>2.0636942675159236</v>
      </c>
      <c r="C76">
        <v>15.199999809265137</v>
      </c>
      <c r="D76">
        <v>93</v>
      </c>
      <c r="E76">
        <v>25</v>
      </c>
      <c r="F76">
        <v>461</v>
      </c>
      <c r="G76" s="1" t="s">
        <v>27</v>
      </c>
      <c r="I76">
        <v>0</v>
      </c>
      <c r="J76">
        <v>54</v>
      </c>
      <c r="K76">
        <v>461</v>
      </c>
      <c r="L76">
        <v>4</v>
      </c>
      <c r="M76" s="1" t="s">
        <v>101</v>
      </c>
      <c r="N76">
        <v>9</v>
      </c>
      <c r="O76">
        <v>324</v>
      </c>
      <c r="P76">
        <v>139</v>
      </c>
      <c r="Q76">
        <v>54</v>
      </c>
      <c r="R76">
        <v>1</v>
      </c>
      <c r="S76">
        <v>28.295427</v>
      </c>
      <c r="T76" s="1" t="s">
        <v>29</v>
      </c>
      <c r="U76">
        <v>7.3570199999999997E-3</v>
      </c>
      <c r="V76" s="1" t="s">
        <v>30</v>
      </c>
      <c r="W76">
        <v>2.7229693999999999E-2</v>
      </c>
      <c r="X76">
        <v>5</v>
      </c>
      <c r="Y76">
        <v>4</v>
      </c>
      <c r="Z76">
        <v>41</v>
      </c>
      <c r="AA76">
        <v>461</v>
      </c>
    </row>
    <row r="77" spans="1:27" x14ac:dyDescent="0.3">
      <c r="A77">
        <v>7.857827247000003</v>
      </c>
      <c r="B77">
        <v>4.2050264550264549</v>
      </c>
      <c r="C77">
        <v>15.25</v>
      </c>
      <c r="D77">
        <v>2865</v>
      </c>
      <c r="E77">
        <v>25</v>
      </c>
      <c r="F77">
        <v>59865</v>
      </c>
      <c r="G77" s="1" t="s">
        <v>27</v>
      </c>
      <c r="I77">
        <v>0</v>
      </c>
      <c r="J77">
        <v>48</v>
      </c>
      <c r="K77">
        <v>59865</v>
      </c>
      <c r="L77">
        <v>25</v>
      </c>
      <c r="M77" s="1" t="s">
        <v>102</v>
      </c>
      <c r="N77">
        <v>346</v>
      </c>
      <c r="O77">
        <v>3179</v>
      </c>
      <c r="P77">
        <v>1657</v>
      </c>
      <c r="Q77">
        <v>48</v>
      </c>
      <c r="R77">
        <v>1</v>
      </c>
      <c r="S77">
        <v>109880.19525400001</v>
      </c>
      <c r="T77" s="1" t="s">
        <v>29</v>
      </c>
      <c r="U77">
        <v>112.31770114699999</v>
      </c>
      <c r="V77" s="1" t="s">
        <v>30</v>
      </c>
      <c r="W77">
        <v>120.175527372</v>
      </c>
      <c r="X77">
        <v>24</v>
      </c>
      <c r="Y77">
        <v>32</v>
      </c>
      <c r="Z77">
        <v>0</v>
      </c>
      <c r="AA77">
        <v>59865</v>
      </c>
    </row>
    <row r="78" spans="1:27" x14ac:dyDescent="0.3">
      <c r="A78">
        <v>2.1798976000000001E-2</v>
      </c>
      <c r="B78">
        <v>2.5539568345323742</v>
      </c>
      <c r="C78">
        <v>13.399999618530273</v>
      </c>
      <c r="D78">
        <v>72</v>
      </c>
      <c r="E78">
        <v>25</v>
      </c>
      <c r="F78">
        <v>2300</v>
      </c>
      <c r="G78" s="1" t="s">
        <v>27</v>
      </c>
      <c r="I78">
        <v>0</v>
      </c>
      <c r="J78">
        <v>71</v>
      </c>
      <c r="K78">
        <v>2300</v>
      </c>
      <c r="L78">
        <v>8</v>
      </c>
      <c r="M78" s="1" t="s">
        <v>103</v>
      </c>
      <c r="N78">
        <v>12</v>
      </c>
      <c r="O78">
        <v>355</v>
      </c>
      <c r="P78">
        <v>178</v>
      </c>
      <c r="Q78">
        <v>71</v>
      </c>
      <c r="R78">
        <v>1</v>
      </c>
      <c r="S78">
        <v>34.084299999999999</v>
      </c>
      <c r="T78" s="1" t="s">
        <v>29</v>
      </c>
      <c r="U78">
        <v>1.1127109E-2</v>
      </c>
      <c r="V78" s="1" t="s">
        <v>30</v>
      </c>
      <c r="W78">
        <v>3.2925319000000002E-2</v>
      </c>
      <c r="X78">
        <v>5</v>
      </c>
      <c r="Y78">
        <v>7</v>
      </c>
      <c r="Z78">
        <v>52</v>
      </c>
      <c r="AA78">
        <v>2300</v>
      </c>
    </row>
    <row r="79" spans="1:27" x14ac:dyDescent="0.3">
      <c r="A79">
        <v>3.5745663000000004E-2</v>
      </c>
      <c r="B79">
        <v>2.5380710659898478</v>
      </c>
      <c r="C79">
        <v>13.571428298950195</v>
      </c>
      <c r="D79">
        <v>150</v>
      </c>
      <c r="E79">
        <v>25</v>
      </c>
      <c r="F79">
        <v>12006</v>
      </c>
      <c r="G79" s="1" t="s">
        <v>27</v>
      </c>
      <c r="I79">
        <v>0</v>
      </c>
      <c r="J79">
        <v>42</v>
      </c>
      <c r="K79">
        <v>12006</v>
      </c>
      <c r="L79">
        <v>7</v>
      </c>
      <c r="M79" s="1" t="s">
        <v>104</v>
      </c>
      <c r="N79">
        <v>38</v>
      </c>
      <c r="O79">
        <v>500</v>
      </c>
      <c r="P79">
        <v>215</v>
      </c>
      <c r="Q79">
        <v>42</v>
      </c>
      <c r="R79">
        <v>1</v>
      </c>
      <c r="S79">
        <v>51.145023999999999</v>
      </c>
      <c r="T79" s="1" t="s">
        <v>29</v>
      </c>
      <c r="U79">
        <v>1.2995899E-2</v>
      </c>
      <c r="V79" s="1" t="s">
        <v>30</v>
      </c>
      <c r="W79">
        <v>4.8740634999999997E-2</v>
      </c>
      <c r="X79">
        <v>7</v>
      </c>
      <c r="Y79">
        <v>17</v>
      </c>
      <c r="Z79">
        <v>11</v>
      </c>
      <c r="AA79">
        <v>12006</v>
      </c>
    </row>
    <row r="80" spans="1:27" x14ac:dyDescent="0.3">
      <c r="A80">
        <v>1.9765519000000002E-2</v>
      </c>
      <c r="B80">
        <v>1.6524064171122994</v>
      </c>
      <c r="C80">
        <v>12.857142448425293</v>
      </c>
      <c r="D80">
        <v>126</v>
      </c>
      <c r="E80">
        <v>25</v>
      </c>
      <c r="F80">
        <v>8761</v>
      </c>
      <c r="G80" s="1" t="s">
        <v>27</v>
      </c>
      <c r="I80">
        <v>0</v>
      </c>
      <c r="J80">
        <v>49</v>
      </c>
      <c r="K80">
        <v>8761</v>
      </c>
      <c r="L80">
        <v>4</v>
      </c>
      <c r="M80" s="1" t="s">
        <v>105</v>
      </c>
      <c r="N80">
        <v>7</v>
      </c>
      <c r="O80">
        <v>309</v>
      </c>
      <c r="P80">
        <v>98</v>
      </c>
      <c r="Q80">
        <v>49</v>
      </c>
      <c r="R80">
        <v>1</v>
      </c>
      <c r="S80">
        <v>27.482384</v>
      </c>
      <c r="T80" s="1" t="s">
        <v>29</v>
      </c>
      <c r="U80">
        <v>6.7355840000000002E-3</v>
      </c>
      <c r="V80" s="1" t="s">
        <v>30</v>
      </c>
      <c r="W80">
        <v>2.6500243999999999E-2</v>
      </c>
      <c r="X80">
        <v>7</v>
      </c>
      <c r="Y80">
        <v>3</v>
      </c>
      <c r="Z80">
        <v>32</v>
      </c>
      <c r="AA80">
        <v>8761</v>
      </c>
    </row>
    <row r="81" spans="1:27" x14ac:dyDescent="0.3">
      <c r="A81">
        <v>8.0871731929999982</v>
      </c>
      <c r="B81">
        <v>4.8</v>
      </c>
      <c r="C81">
        <v>15.399999618530273</v>
      </c>
      <c r="D81">
        <v>3202</v>
      </c>
      <c r="E81">
        <v>25</v>
      </c>
      <c r="G81" s="1" t="s">
        <v>27</v>
      </c>
      <c r="I81">
        <v>0</v>
      </c>
      <c r="J81">
        <v>49</v>
      </c>
      <c r="K81">
        <v>73410</v>
      </c>
      <c r="L81">
        <v>29</v>
      </c>
      <c r="M81" s="1" t="s">
        <v>106</v>
      </c>
      <c r="N81">
        <v>411</v>
      </c>
      <c r="O81">
        <v>3816</v>
      </c>
      <c r="P81">
        <v>2100</v>
      </c>
      <c r="Q81">
        <v>48</v>
      </c>
      <c r="R81">
        <v>1</v>
      </c>
      <c r="S81">
        <v>127521.687447</v>
      </c>
      <c r="T81" s="1" t="s">
        <v>29</v>
      </c>
      <c r="U81">
        <v>119.434516934</v>
      </c>
      <c r="V81" s="1" t="s">
        <v>69</v>
      </c>
      <c r="W81">
        <v>127.52168744700001</v>
      </c>
      <c r="X81">
        <v>25</v>
      </c>
      <c r="Y81">
        <v>40</v>
      </c>
      <c r="Z81">
        <v>0</v>
      </c>
      <c r="AA81">
        <v>73988</v>
      </c>
    </row>
    <row r="82" spans="1:27" x14ac:dyDescent="0.3">
      <c r="A82">
        <v>8.9933565709999996</v>
      </c>
      <c r="B82">
        <v>5.115384615384615</v>
      </c>
      <c r="C82">
        <v>16.214284896850586</v>
      </c>
      <c r="D82">
        <v>970</v>
      </c>
      <c r="E82">
        <v>25</v>
      </c>
      <c r="F82">
        <v>23789</v>
      </c>
      <c r="G82" s="1" t="s">
        <v>27</v>
      </c>
      <c r="I82">
        <v>0</v>
      </c>
      <c r="J82">
        <v>60</v>
      </c>
      <c r="K82">
        <v>23789</v>
      </c>
      <c r="L82">
        <v>29</v>
      </c>
      <c r="M82" s="1" t="s">
        <v>107</v>
      </c>
      <c r="N82">
        <v>423</v>
      </c>
      <c r="O82">
        <v>2394</v>
      </c>
      <c r="P82">
        <v>1106</v>
      </c>
      <c r="Q82">
        <v>60</v>
      </c>
      <c r="R82">
        <v>1</v>
      </c>
      <c r="S82">
        <v>47225.455314999999</v>
      </c>
      <c r="T82" s="1" t="s">
        <v>29</v>
      </c>
      <c r="U82">
        <v>42.711355644999998</v>
      </c>
      <c r="V82" s="1" t="s">
        <v>30</v>
      </c>
      <c r="W82">
        <v>51.704711086000003</v>
      </c>
      <c r="X82">
        <v>14</v>
      </c>
      <c r="Y82">
        <v>45</v>
      </c>
      <c r="Z82">
        <v>0</v>
      </c>
      <c r="AA82">
        <v>23789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2D97-F53A-4934-A665-1F1B9237C4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416969-ECDA-432E-86A9-5B6004946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results_sat_scl_cont_totalizer_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tan nguyen</cp:lastModifiedBy>
  <dcterms:created xsi:type="dcterms:W3CDTF">2026-04-04T04:19:11Z</dcterms:created>
  <dcterms:modified xsi:type="dcterms:W3CDTF">2026-04-04T05:13:56Z</dcterms:modified>
</cp:coreProperties>
</file>